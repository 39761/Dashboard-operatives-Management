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S2025\Documents\_US_FIDP\AnwP-Data-DL\Projekt Dashboard Steinzeugkugeln\"/>
    </mc:Choice>
  </mc:AlternateContent>
  <xr:revisionPtr revIDLastSave="0" documentId="8_{1D73AD92-801E-4BF7-A05C-8107F07E8214}" xr6:coauthVersionLast="47" xr6:coauthVersionMax="47" xr10:uidLastSave="{00000000-0000-0000-0000-000000000000}"/>
  <bookViews>
    <workbookView xWindow="-28920" yWindow="-105" windowWidth="29040" windowHeight="15720" activeTab="4" xr2:uid="{8CF31DB1-7864-4EDB-8451-D3DF1CC4F83C}"/>
  </bookViews>
  <sheets>
    <sheet name="Pivot" sheetId="5" r:id="rId1"/>
    <sheet name="Pivot_1" sheetId="7" r:id="rId2"/>
    <sheet name="Pivot_2" sheetId="8" r:id="rId3"/>
    <sheet name="Pivot_3" sheetId="9" r:id="rId4"/>
    <sheet name="Daten" sheetId="4" r:id="rId5"/>
    <sheet name="Dashboard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6" i="4"/>
  <c r="E7" i="4"/>
  <c r="E8" i="4"/>
  <c r="E3" i="4"/>
  <c r="E4" i="4"/>
  <c r="E5" i="4"/>
  <c r="E9" i="4"/>
  <c r="E10" i="4"/>
  <c r="E11" i="4"/>
  <c r="E12" i="4"/>
  <c r="M132" i="4"/>
  <c r="M2" i="4"/>
  <c r="M3" i="4" s="1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E13" i="4" l="1"/>
  <c r="M130" i="4"/>
  <c r="M131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E14" i="4" l="1"/>
  <c r="E15" i="4" l="1"/>
  <c r="E16" i="4" l="1"/>
  <c r="E17" i="4" l="1"/>
  <c r="E18" i="4" l="1"/>
  <c r="E19" i="4" l="1"/>
  <c r="E20" i="4" l="1"/>
  <c r="E21" i="4" l="1"/>
  <c r="E22" i="4" l="1"/>
  <c r="E23" i="4" l="1"/>
  <c r="E24" i="4" l="1"/>
  <c r="E25" i="4" l="1"/>
  <c r="E26" i="4" l="1"/>
  <c r="E27" i="4" l="1"/>
  <c r="E28" i="4" l="1"/>
  <c r="E29" i="4" l="1"/>
  <c r="E30" i="4" l="1"/>
  <c r="E31" i="4" l="1"/>
  <c r="E32" i="4" l="1"/>
  <c r="E33" i="4" l="1"/>
  <c r="E34" i="4" l="1"/>
  <c r="E35" i="4" l="1"/>
  <c r="E36" i="4" l="1"/>
  <c r="E37" i="4" l="1"/>
  <c r="E38" i="4" l="1"/>
  <c r="E39" i="4" l="1"/>
  <c r="E40" i="4" l="1"/>
  <c r="E41" i="4" l="1"/>
  <c r="E42" i="4" l="1"/>
  <c r="E43" i="4" l="1"/>
  <c r="E44" i="4" l="1"/>
  <c r="E45" i="4" l="1"/>
  <c r="E46" i="4" l="1"/>
  <c r="E47" i="4" l="1"/>
  <c r="E48" i="4" l="1"/>
  <c r="E49" i="4" l="1"/>
  <c r="E50" i="4" l="1"/>
  <c r="E51" i="4" l="1"/>
  <c r="E52" i="4" l="1"/>
  <c r="E53" i="4" l="1"/>
  <c r="E54" i="4" l="1"/>
  <c r="E55" i="4" l="1"/>
  <c r="E56" i="4" l="1"/>
  <c r="E57" i="4" l="1"/>
  <c r="E58" i="4" l="1"/>
  <c r="E59" i="4" l="1"/>
  <c r="E60" i="4" l="1"/>
  <c r="E61" i="4" l="1"/>
  <c r="E62" i="4" l="1"/>
  <c r="E63" i="4" l="1"/>
  <c r="E64" i="4" l="1"/>
  <c r="E65" i="4" l="1"/>
  <c r="E66" i="4" l="1"/>
  <c r="E67" i="4" l="1"/>
  <c r="E68" i="4" l="1"/>
  <c r="E69" i="4" l="1"/>
  <c r="E70" i="4" l="1"/>
  <c r="E71" i="4" l="1"/>
  <c r="E72" i="4" l="1"/>
  <c r="E73" i="4" l="1"/>
  <c r="E74" i="4" l="1"/>
  <c r="E75" i="4" l="1"/>
  <c r="E76" i="4" l="1"/>
  <c r="E77" i="4" l="1"/>
  <c r="E78" i="4" l="1"/>
  <c r="E79" i="4" l="1"/>
  <c r="E80" i="4" l="1"/>
  <c r="E81" i="4" l="1"/>
  <c r="E82" i="4" l="1"/>
  <c r="E83" i="4" l="1"/>
  <c r="E84" i="4" l="1"/>
  <c r="E85" i="4" l="1"/>
  <c r="E86" i="4" l="1"/>
  <c r="E87" i="4" l="1"/>
  <c r="E88" i="4" l="1"/>
  <c r="E89" i="4" l="1"/>
  <c r="E90" i="4" l="1"/>
  <c r="E91" i="4" l="1"/>
  <c r="E92" i="4" l="1"/>
  <c r="E93" i="4" l="1"/>
  <c r="E94" i="4" l="1"/>
  <c r="E95" i="4" l="1"/>
  <c r="E96" i="4" l="1"/>
  <c r="E97" i="4" l="1"/>
  <c r="E98" i="4" l="1"/>
  <c r="E99" i="4" l="1"/>
  <c r="E100" i="4" l="1"/>
  <c r="E101" i="4" l="1"/>
  <c r="E102" i="4" l="1"/>
  <c r="E103" i="4" l="1"/>
  <c r="E104" i="4" l="1"/>
  <c r="E105" i="4" l="1"/>
  <c r="E106" i="4" l="1"/>
  <c r="E107" i="4" l="1"/>
  <c r="E108" i="4" l="1"/>
  <c r="E109" i="4" l="1"/>
  <c r="E110" i="4" l="1"/>
  <c r="E111" i="4" l="1"/>
  <c r="E112" i="4" l="1"/>
  <c r="E113" i="4" l="1"/>
  <c r="E114" i="4" l="1"/>
  <c r="E115" i="4" l="1"/>
  <c r="E116" i="4" l="1"/>
  <c r="E117" i="4" l="1"/>
  <c r="E118" i="4" l="1"/>
  <c r="E119" i="4" l="1"/>
  <c r="E120" i="4" l="1"/>
  <c r="E121" i="4" l="1"/>
  <c r="E122" i="4" l="1"/>
  <c r="E123" i="4" l="1"/>
  <c r="E124" i="4" l="1"/>
  <c r="E125" i="4" l="1"/>
  <c r="E126" i="4" l="1"/>
  <c r="E127" i="4" l="1"/>
  <c r="E128" i="4" l="1"/>
  <c r="E129" i="4" l="1"/>
  <c r="E130" i="4" l="1"/>
  <c r="E131" i="4" l="1"/>
  <c r="E132" i="4" l="1"/>
  <c r="E133" i="4" l="1"/>
  <c r="E134" i="4" l="1"/>
  <c r="E135" i="4" l="1"/>
  <c r="E136" i="4" l="1"/>
  <c r="E137" i="4" l="1"/>
  <c r="E138" i="4" l="1"/>
  <c r="E139" i="4" l="1"/>
  <c r="E140" i="4" l="1"/>
  <c r="E141" i="4" l="1"/>
  <c r="E142" i="4" l="1"/>
  <c r="E143" i="4" l="1"/>
  <c r="E144" i="4" l="1"/>
  <c r="E145" i="4" l="1"/>
  <c r="E146" i="4" l="1"/>
  <c r="E147" i="4" l="1"/>
  <c r="E148" i="4" l="1"/>
  <c r="E149" i="4" l="1"/>
  <c r="E150" i="4" l="1"/>
  <c r="E151" i="4" l="1"/>
  <c r="E152" i="4" l="1"/>
  <c r="E153" i="4" l="1"/>
  <c r="E154" i="4" l="1"/>
  <c r="E155" i="4" l="1"/>
  <c r="E156" i="4" l="1"/>
  <c r="E157" i="4" l="1"/>
  <c r="E158" i="4" l="1"/>
  <c r="E159" i="4" l="1"/>
  <c r="E160" i="4" l="1"/>
  <c r="E161" i="4" l="1"/>
  <c r="E162" i="4" l="1"/>
  <c r="E163" i="4" l="1"/>
  <c r="E164" i="4" l="1"/>
  <c r="E165" i="4" l="1"/>
  <c r="E166" i="4" l="1"/>
  <c r="E167" i="4" l="1"/>
  <c r="E168" i="4" l="1"/>
  <c r="E169" i="4" l="1"/>
  <c r="E170" i="4" l="1"/>
  <c r="E171" i="4" l="1"/>
  <c r="E172" i="4" l="1"/>
  <c r="E173" i="4" l="1"/>
  <c r="E174" i="4" l="1"/>
  <c r="E175" i="4" l="1"/>
  <c r="E176" i="4" l="1"/>
  <c r="E177" i="4" l="1"/>
  <c r="E178" i="4" l="1"/>
  <c r="E179" i="4" l="1"/>
  <c r="E180" i="4" l="1"/>
  <c r="E181" i="4" l="1"/>
  <c r="E182" i="4" l="1"/>
  <c r="E183" i="4" l="1"/>
  <c r="E184" i="4" l="1"/>
  <c r="E185" i="4" l="1"/>
  <c r="E186" i="4" l="1"/>
  <c r="E187" i="4" l="1"/>
  <c r="E188" i="4" l="1"/>
  <c r="E189" i="4" l="1"/>
  <c r="E190" i="4" l="1"/>
  <c r="E191" i="4" l="1"/>
  <c r="E192" i="4" l="1"/>
  <c r="E193" i="4" l="1"/>
  <c r="E194" i="4" l="1"/>
  <c r="E195" i="4" l="1"/>
  <c r="E196" i="4" l="1"/>
  <c r="E197" i="4" l="1"/>
  <c r="E198" i="4" l="1"/>
  <c r="E199" i="4" l="1"/>
  <c r="E200" i="4" l="1"/>
  <c r="E201" i="4"/>
</calcChain>
</file>

<file path=xl/sharedStrings.xml><?xml version="1.0" encoding="utf-8"?>
<sst xmlns="http://schemas.openxmlformats.org/spreadsheetml/2006/main" count="256" uniqueCount="49">
  <si>
    <t>Unrundheit</t>
  </si>
  <si>
    <t>Werkzeug-ID</t>
  </si>
  <si>
    <t>Form_A1</t>
  </si>
  <si>
    <t>Form_A2</t>
  </si>
  <si>
    <t>Soll_Menge</t>
  </si>
  <si>
    <t>Ausschuss_Material</t>
  </si>
  <si>
    <t>D_soll​</t>
  </si>
  <si>
    <t>D_mittel​</t>
  </si>
  <si>
    <t>Ausschuss_Form</t>
  </si>
  <si>
    <t>Verlust_Euro</t>
  </si>
  <si>
    <t>Grenze_unrund</t>
  </si>
  <si>
    <t>Ausschuss_gesamt</t>
  </si>
  <si>
    <t>H_Kosten_pro_Stück</t>
  </si>
  <si>
    <t>Spaltenbeschriftungen</t>
  </si>
  <si>
    <t>Gesamtergebnis</t>
  </si>
  <si>
    <t>Zeilenbeschriftungen</t>
  </si>
  <si>
    <t>Summe von D_soll​</t>
  </si>
  <si>
    <t>Summe von D_mittel​</t>
  </si>
  <si>
    <t>Summe von Ausschuss_Material</t>
  </si>
  <si>
    <t>Summe von Ausschuss_Form</t>
  </si>
  <si>
    <t>Summe von Ausschuss_gesamt</t>
  </si>
  <si>
    <t>Summe von verlust kum.</t>
  </si>
  <si>
    <t>IST: Mittelwert Formabweichung</t>
  </si>
  <si>
    <t>SOLL: max. Formabweichung</t>
  </si>
  <si>
    <t>Anzahl von Charge</t>
  </si>
  <si>
    <t>Ausschuss-Bilanz</t>
  </si>
  <si>
    <t>Qualitäts-Glocke</t>
  </si>
  <si>
    <t>Verschleiß-Radar</t>
  </si>
  <si>
    <t>Streuung der Kugelgröße</t>
  </si>
  <si>
    <t>Durch Ausschuss verursachte Zusatzkosten</t>
  </si>
  <si>
    <t>Abweichung von der Kugelform</t>
  </si>
  <si>
    <t>Zusatzkosten kumulativ</t>
  </si>
  <si>
    <t>29,98-30,03</t>
  </si>
  <si>
    <t>30,03-30,08</t>
  </si>
  <si>
    <t>30,08-30,13</t>
  </si>
  <si>
    <t>30,13-30,18</t>
  </si>
  <si>
    <t>30,18-30,23</t>
  </si>
  <si>
    <t>30,23-30,28</t>
  </si>
  <si>
    <t>30,28-30,33</t>
  </si>
  <si>
    <t>30,33-30,38</t>
  </si>
  <si>
    <t>30,38-30,43</t>
  </si>
  <si>
    <t>30,43-30,48</t>
  </si>
  <si>
    <t>30,48-30,53</t>
  </si>
  <si>
    <t>30,53-30,58</t>
  </si>
  <si>
    <t>30,58-30,63</t>
  </si>
  <si>
    <t>30,63-30,68</t>
  </si>
  <si>
    <t>Zusatzkosten je Presshub</t>
  </si>
  <si>
    <t>Presshub</t>
  </si>
  <si>
    <t>Verlust_kumulativ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</si>
</sst>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Steinzeugkugeln.xlsx]Pivot_3!PivotTable4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Durch</a:t>
            </a:r>
            <a:r>
              <a:rPr lang="de-DE" baseline="0"/>
              <a:t> Ausschuss verursachte Zusatzkosten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Pivot_3!$B$3</c:f>
              <c:strCache>
                <c:ptCount val="1"/>
                <c:pt idx="0">
                  <c:v>Zusatzkosten je Presshub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Pivot_3!$A$4:$A$204</c:f>
              <c:strCach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strCache>
            </c:strRef>
          </c:cat>
          <c:val>
            <c:numRef>
              <c:f>Pivot_3!$B$4:$B$204</c:f>
              <c:numCache>
                <c:formatCode>General</c:formatCode>
                <c:ptCount val="200"/>
                <c:pt idx="0">
                  <c:v>3.5</c:v>
                </c:pt>
                <c:pt idx="1">
                  <c:v>3.5</c:v>
                </c:pt>
                <c:pt idx="2">
                  <c:v>4.5</c:v>
                </c:pt>
                <c:pt idx="3">
                  <c:v>4</c:v>
                </c:pt>
                <c:pt idx="4">
                  <c:v>1.5</c:v>
                </c:pt>
                <c:pt idx="5">
                  <c:v>5.5</c:v>
                </c:pt>
                <c:pt idx="6">
                  <c:v>3.5</c:v>
                </c:pt>
                <c:pt idx="7">
                  <c:v>4.5</c:v>
                </c:pt>
                <c:pt idx="8">
                  <c:v>4</c:v>
                </c:pt>
                <c:pt idx="9">
                  <c:v>1.5</c:v>
                </c:pt>
                <c:pt idx="10">
                  <c:v>3.5</c:v>
                </c:pt>
                <c:pt idx="11">
                  <c:v>2</c:v>
                </c:pt>
                <c:pt idx="12">
                  <c:v>3.5</c:v>
                </c:pt>
                <c:pt idx="13">
                  <c:v>2</c:v>
                </c:pt>
                <c:pt idx="14">
                  <c:v>4</c:v>
                </c:pt>
                <c:pt idx="15">
                  <c:v>5.5</c:v>
                </c:pt>
                <c:pt idx="16">
                  <c:v>3</c:v>
                </c:pt>
                <c:pt idx="17">
                  <c:v>2</c:v>
                </c:pt>
                <c:pt idx="18">
                  <c:v>3.5</c:v>
                </c:pt>
                <c:pt idx="19">
                  <c:v>4.5</c:v>
                </c:pt>
                <c:pt idx="20">
                  <c:v>3.5</c:v>
                </c:pt>
                <c:pt idx="21">
                  <c:v>4.5</c:v>
                </c:pt>
                <c:pt idx="22">
                  <c:v>4.5</c:v>
                </c:pt>
                <c:pt idx="23">
                  <c:v>5</c:v>
                </c:pt>
                <c:pt idx="24">
                  <c:v>3.5</c:v>
                </c:pt>
                <c:pt idx="25">
                  <c:v>5</c:v>
                </c:pt>
                <c:pt idx="26">
                  <c:v>2</c:v>
                </c:pt>
                <c:pt idx="27">
                  <c:v>5</c:v>
                </c:pt>
                <c:pt idx="28">
                  <c:v>2</c:v>
                </c:pt>
                <c:pt idx="29">
                  <c:v>4.5</c:v>
                </c:pt>
                <c:pt idx="30">
                  <c:v>4</c:v>
                </c:pt>
                <c:pt idx="31">
                  <c:v>5</c:v>
                </c:pt>
                <c:pt idx="32">
                  <c:v>4</c:v>
                </c:pt>
                <c:pt idx="33">
                  <c:v>2</c:v>
                </c:pt>
                <c:pt idx="34">
                  <c:v>4.5</c:v>
                </c:pt>
                <c:pt idx="35">
                  <c:v>0.5</c:v>
                </c:pt>
                <c:pt idx="36">
                  <c:v>3.5</c:v>
                </c:pt>
                <c:pt idx="37">
                  <c:v>2</c:v>
                </c:pt>
                <c:pt idx="38">
                  <c:v>1.5</c:v>
                </c:pt>
                <c:pt idx="39">
                  <c:v>6</c:v>
                </c:pt>
                <c:pt idx="40">
                  <c:v>4.5</c:v>
                </c:pt>
                <c:pt idx="41">
                  <c:v>0.5</c:v>
                </c:pt>
                <c:pt idx="42">
                  <c:v>3</c:v>
                </c:pt>
                <c:pt idx="43">
                  <c:v>0</c:v>
                </c:pt>
                <c:pt idx="44">
                  <c:v>6</c:v>
                </c:pt>
                <c:pt idx="45">
                  <c:v>5.5</c:v>
                </c:pt>
                <c:pt idx="46">
                  <c:v>2</c:v>
                </c:pt>
                <c:pt idx="47">
                  <c:v>4.5</c:v>
                </c:pt>
                <c:pt idx="48">
                  <c:v>2</c:v>
                </c:pt>
                <c:pt idx="49">
                  <c:v>4.5</c:v>
                </c:pt>
                <c:pt idx="50">
                  <c:v>4.5</c:v>
                </c:pt>
                <c:pt idx="51">
                  <c:v>3</c:v>
                </c:pt>
                <c:pt idx="52">
                  <c:v>1</c:v>
                </c:pt>
                <c:pt idx="53">
                  <c:v>1.5</c:v>
                </c:pt>
                <c:pt idx="54">
                  <c:v>2.5</c:v>
                </c:pt>
                <c:pt idx="55">
                  <c:v>0.5</c:v>
                </c:pt>
                <c:pt idx="56">
                  <c:v>4.5</c:v>
                </c:pt>
                <c:pt idx="57">
                  <c:v>1</c:v>
                </c:pt>
                <c:pt idx="58">
                  <c:v>1</c:v>
                </c:pt>
                <c:pt idx="59">
                  <c:v>4.5</c:v>
                </c:pt>
                <c:pt idx="60">
                  <c:v>5</c:v>
                </c:pt>
                <c:pt idx="61">
                  <c:v>3.5</c:v>
                </c:pt>
                <c:pt idx="62">
                  <c:v>4.5</c:v>
                </c:pt>
                <c:pt idx="63">
                  <c:v>3.5</c:v>
                </c:pt>
                <c:pt idx="64">
                  <c:v>1</c:v>
                </c:pt>
                <c:pt idx="65">
                  <c:v>3.5</c:v>
                </c:pt>
                <c:pt idx="66">
                  <c:v>1</c:v>
                </c:pt>
                <c:pt idx="67">
                  <c:v>4</c:v>
                </c:pt>
                <c:pt idx="68">
                  <c:v>4</c:v>
                </c:pt>
                <c:pt idx="69">
                  <c:v>5.5</c:v>
                </c:pt>
                <c:pt idx="70">
                  <c:v>3.5</c:v>
                </c:pt>
                <c:pt idx="71">
                  <c:v>5</c:v>
                </c:pt>
                <c:pt idx="72">
                  <c:v>4.5</c:v>
                </c:pt>
                <c:pt idx="73">
                  <c:v>5</c:v>
                </c:pt>
                <c:pt idx="74">
                  <c:v>3.5</c:v>
                </c:pt>
                <c:pt idx="75">
                  <c:v>1</c:v>
                </c:pt>
                <c:pt idx="76">
                  <c:v>4.5</c:v>
                </c:pt>
                <c:pt idx="77">
                  <c:v>5.5</c:v>
                </c:pt>
                <c:pt idx="78">
                  <c:v>4.5</c:v>
                </c:pt>
                <c:pt idx="79">
                  <c:v>6</c:v>
                </c:pt>
                <c:pt idx="80">
                  <c:v>5</c:v>
                </c:pt>
                <c:pt idx="81">
                  <c:v>0.5</c:v>
                </c:pt>
                <c:pt idx="82">
                  <c:v>5.5</c:v>
                </c:pt>
                <c:pt idx="83">
                  <c:v>3.5</c:v>
                </c:pt>
                <c:pt idx="84">
                  <c:v>2.5</c:v>
                </c:pt>
                <c:pt idx="85">
                  <c:v>5</c:v>
                </c:pt>
                <c:pt idx="86">
                  <c:v>3</c:v>
                </c:pt>
                <c:pt idx="87">
                  <c:v>3.5</c:v>
                </c:pt>
                <c:pt idx="88">
                  <c:v>2.5</c:v>
                </c:pt>
                <c:pt idx="89">
                  <c:v>1.5</c:v>
                </c:pt>
                <c:pt idx="90">
                  <c:v>4</c:v>
                </c:pt>
                <c:pt idx="91">
                  <c:v>2.5</c:v>
                </c:pt>
                <c:pt idx="92">
                  <c:v>5</c:v>
                </c:pt>
                <c:pt idx="93">
                  <c:v>3.5</c:v>
                </c:pt>
                <c:pt idx="94">
                  <c:v>11</c:v>
                </c:pt>
                <c:pt idx="95">
                  <c:v>13.5</c:v>
                </c:pt>
                <c:pt idx="96">
                  <c:v>5</c:v>
                </c:pt>
                <c:pt idx="97">
                  <c:v>4.5</c:v>
                </c:pt>
                <c:pt idx="98">
                  <c:v>11</c:v>
                </c:pt>
                <c:pt idx="99">
                  <c:v>15</c:v>
                </c:pt>
                <c:pt idx="100">
                  <c:v>12.5</c:v>
                </c:pt>
                <c:pt idx="101">
                  <c:v>13.5</c:v>
                </c:pt>
                <c:pt idx="102">
                  <c:v>13</c:v>
                </c:pt>
                <c:pt idx="103">
                  <c:v>14</c:v>
                </c:pt>
                <c:pt idx="104">
                  <c:v>13</c:v>
                </c:pt>
                <c:pt idx="105">
                  <c:v>19</c:v>
                </c:pt>
                <c:pt idx="106">
                  <c:v>17</c:v>
                </c:pt>
                <c:pt idx="107">
                  <c:v>20.5</c:v>
                </c:pt>
                <c:pt idx="108">
                  <c:v>20</c:v>
                </c:pt>
                <c:pt idx="109">
                  <c:v>20</c:v>
                </c:pt>
                <c:pt idx="110">
                  <c:v>20.5</c:v>
                </c:pt>
                <c:pt idx="111">
                  <c:v>18.5</c:v>
                </c:pt>
                <c:pt idx="112">
                  <c:v>21.5</c:v>
                </c:pt>
                <c:pt idx="113">
                  <c:v>20.5</c:v>
                </c:pt>
                <c:pt idx="114">
                  <c:v>23.5</c:v>
                </c:pt>
                <c:pt idx="115">
                  <c:v>20.5</c:v>
                </c:pt>
                <c:pt idx="116">
                  <c:v>26.5</c:v>
                </c:pt>
                <c:pt idx="117">
                  <c:v>30</c:v>
                </c:pt>
                <c:pt idx="118">
                  <c:v>27</c:v>
                </c:pt>
                <c:pt idx="119">
                  <c:v>22.5</c:v>
                </c:pt>
                <c:pt idx="120">
                  <c:v>30</c:v>
                </c:pt>
                <c:pt idx="121">
                  <c:v>32</c:v>
                </c:pt>
                <c:pt idx="122">
                  <c:v>31</c:v>
                </c:pt>
                <c:pt idx="123">
                  <c:v>37.5</c:v>
                </c:pt>
                <c:pt idx="124">
                  <c:v>34</c:v>
                </c:pt>
                <c:pt idx="125">
                  <c:v>40</c:v>
                </c:pt>
                <c:pt idx="126">
                  <c:v>33</c:v>
                </c:pt>
                <c:pt idx="127">
                  <c:v>34.5</c:v>
                </c:pt>
                <c:pt idx="128">
                  <c:v>35</c:v>
                </c:pt>
                <c:pt idx="129">
                  <c:v>49</c:v>
                </c:pt>
                <c:pt idx="130">
                  <c:v>5</c:v>
                </c:pt>
                <c:pt idx="131">
                  <c:v>1.5</c:v>
                </c:pt>
                <c:pt idx="132">
                  <c:v>5</c:v>
                </c:pt>
                <c:pt idx="133">
                  <c:v>1</c:v>
                </c:pt>
                <c:pt idx="134">
                  <c:v>2</c:v>
                </c:pt>
                <c:pt idx="135">
                  <c:v>5.5</c:v>
                </c:pt>
                <c:pt idx="136">
                  <c:v>3</c:v>
                </c:pt>
                <c:pt idx="137">
                  <c:v>2.5</c:v>
                </c:pt>
                <c:pt idx="138">
                  <c:v>5.5</c:v>
                </c:pt>
                <c:pt idx="139">
                  <c:v>5.5</c:v>
                </c:pt>
                <c:pt idx="140">
                  <c:v>4.5</c:v>
                </c:pt>
                <c:pt idx="141">
                  <c:v>6</c:v>
                </c:pt>
                <c:pt idx="142">
                  <c:v>1</c:v>
                </c:pt>
                <c:pt idx="143">
                  <c:v>3.5</c:v>
                </c:pt>
                <c:pt idx="144">
                  <c:v>2</c:v>
                </c:pt>
                <c:pt idx="145">
                  <c:v>3</c:v>
                </c:pt>
                <c:pt idx="146">
                  <c:v>3.5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2.5</c:v>
                </c:pt>
                <c:pt idx="151">
                  <c:v>6</c:v>
                </c:pt>
                <c:pt idx="152">
                  <c:v>2.5</c:v>
                </c:pt>
                <c:pt idx="153">
                  <c:v>3.5</c:v>
                </c:pt>
                <c:pt idx="154">
                  <c:v>4.5</c:v>
                </c:pt>
                <c:pt idx="155">
                  <c:v>5.5</c:v>
                </c:pt>
                <c:pt idx="156">
                  <c:v>2</c:v>
                </c:pt>
                <c:pt idx="157">
                  <c:v>2</c:v>
                </c:pt>
                <c:pt idx="158">
                  <c:v>4.5</c:v>
                </c:pt>
                <c:pt idx="159">
                  <c:v>2</c:v>
                </c:pt>
                <c:pt idx="160">
                  <c:v>4.5</c:v>
                </c:pt>
                <c:pt idx="161">
                  <c:v>5.5</c:v>
                </c:pt>
                <c:pt idx="162">
                  <c:v>6</c:v>
                </c:pt>
                <c:pt idx="163">
                  <c:v>3.5</c:v>
                </c:pt>
                <c:pt idx="164">
                  <c:v>1.5</c:v>
                </c:pt>
                <c:pt idx="165">
                  <c:v>3.5</c:v>
                </c:pt>
                <c:pt idx="166">
                  <c:v>2.5</c:v>
                </c:pt>
                <c:pt idx="167">
                  <c:v>0.5</c:v>
                </c:pt>
                <c:pt idx="168">
                  <c:v>4</c:v>
                </c:pt>
                <c:pt idx="169">
                  <c:v>1.5</c:v>
                </c:pt>
                <c:pt idx="170">
                  <c:v>3.5</c:v>
                </c:pt>
                <c:pt idx="171">
                  <c:v>2.5</c:v>
                </c:pt>
                <c:pt idx="172">
                  <c:v>2</c:v>
                </c:pt>
                <c:pt idx="173">
                  <c:v>1.5</c:v>
                </c:pt>
                <c:pt idx="174">
                  <c:v>3.5</c:v>
                </c:pt>
                <c:pt idx="175">
                  <c:v>2.5</c:v>
                </c:pt>
                <c:pt idx="176">
                  <c:v>6.5</c:v>
                </c:pt>
                <c:pt idx="177">
                  <c:v>11.5</c:v>
                </c:pt>
                <c:pt idx="178">
                  <c:v>8</c:v>
                </c:pt>
                <c:pt idx="179">
                  <c:v>4</c:v>
                </c:pt>
                <c:pt idx="180">
                  <c:v>4</c:v>
                </c:pt>
                <c:pt idx="181">
                  <c:v>2.5</c:v>
                </c:pt>
                <c:pt idx="182">
                  <c:v>5</c:v>
                </c:pt>
                <c:pt idx="183">
                  <c:v>1.5</c:v>
                </c:pt>
                <c:pt idx="184">
                  <c:v>2</c:v>
                </c:pt>
                <c:pt idx="185">
                  <c:v>3.5</c:v>
                </c:pt>
                <c:pt idx="186">
                  <c:v>1</c:v>
                </c:pt>
                <c:pt idx="187">
                  <c:v>2.5</c:v>
                </c:pt>
                <c:pt idx="188">
                  <c:v>5</c:v>
                </c:pt>
                <c:pt idx="189">
                  <c:v>4.5</c:v>
                </c:pt>
                <c:pt idx="190">
                  <c:v>4</c:v>
                </c:pt>
                <c:pt idx="191">
                  <c:v>5</c:v>
                </c:pt>
                <c:pt idx="192">
                  <c:v>5</c:v>
                </c:pt>
                <c:pt idx="193">
                  <c:v>4</c:v>
                </c:pt>
                <c:pt idx="194">
                  <c:v>5.5</c:v>
                </c:pt>
                <c:pt idx="195">
                  <c:v>2.5</c:v>
                </c:pt>
                <c:pt idx="196">
                  <c:v>4.5</c:v>
                </c:pt>
                <c:pt idx="197">
                  <c:v>5.5</c:v>
                </c:pt>
                <c:pt idx="198">
                  <c:v>1.5</c:v>
                </c:pt>
                <c:pt idx="199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D-4160-805C-0C0BEA65E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7017327"/>
        <c:axId val="1617020207"/>
      </c:barChart>
      <c:lineChart>
        <c:grouping val="standard"/>
        <c:varyColors val="0"/>
        <c:ser>
          <c:idx val="1"/>
          <c:order val="1"/>
          <c:tx>
            <c:strRef>
              <c:f>Pivot_3!$C$3</c:f>
              <c:strCache>
                <c:ptCount val="1"/>
                <c:pt idx="0">
                  <c:v>Zusatzkosten kumulativ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Pivot_3!$A$4:$A$204</c:f>
              <c:strCach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strCache>
            </c:strRef>
          </c:cat>
          <c:val>
            <c:numRef>
              <c:f>Pivot_3!$C$4:$C$204</c:f>
              <c:numCache>
                <c:formatCode>General</c:formatCode>
                <c:ptCount val="200"/>
                <c:pt idx="0">
                  <c:v>3.5</c:v>
                </c:pt>
                <c:pt idx="1">
                  <c:v>7</c:v>
                </c:pt>
                <c:pt idx="2">
                  <c:v>11.5</c:v>
                </c:pt>
                <c:pt idx="3">
                  <c:v>15.5</c:v>
                </c:pt>
                <c:pt idx="4">
                  <c:v>17</c:v>
                </c:pt>
                <c:pt idx="5">
                  <c:v>22.5</c:v>
                </c:pt>
                <c:pt idx="6">
                  <c:v>26</c:v>
                </c:pt>
                <c:pt idx="7">
                  <c:v>30.5</c:v>
                </c:pt>
                <c:pt idx="8">
                  <c:v>34.5</c:v>
                </c:pt>
                <c:pt idx="9">
                  <c:v>36</c:v>
                </c:pt>
                <c:pt idx="10">
                  <c:v>39.5</c:v>
                </c:pt>
                <c:pt idx="11">
                  <c:v>41.5</c:v>
                </c:pt>
                <c:pt idx="12">
                  <c:v>45</c:v>
                </c:pt>
                <c:pt idx="13">
                  <c:v>47</c:v>
                </c:pt>
                <c:pt idx="14">
                  <c:v>51</c:v>
                </c:pt>
                <c:pt idx="15">
                  <c:v>56.5</c:v>
                </c:pt>
                <c:pt idx="16">
                  <c:v>59.5</c:v>
                </c:pt>
                <c:pt idx="17">
                  <c:v>61.5</c:v>
                </c:pt>
                <c:pt idx="18">
                  <c:v>65</c:v>
                </c:pt>
                <c:pt idx="19">
                  <c:v>69.5</c:v>
                </c:pt>
                <c:pt idx="20">
                  <c:v>73</c:v>
                </c:pt>
                <c:pt idx="21">
                  <c:v>77.5</c:v>
                </c:pt>
                <c:pt idx="22">
                  <c:v>82</c:v>
                </c:pt>
                <c:pt idx="23">
                  <c:v>87</c:v>
                </c:pt>
                <c:pt idx="24">
                  <c:v>90.5</c:v>
                </c:pt>
                <c:pt idx="25">
                  <c:v>95.5</c:v>
                </c:pt>
                <c:pt idx="26">
                  <c:v>97.5</c:v>
                </c:pt>
                <c:pt idx="27">
                  <c:v>102.5</c:v>
                </c:pt>
                <c:pt idx="28">
                  <c:v>104.5</c:v>
                </c:pt>
                <c:pt idx="29">
                  <c:v>109</c:v>
                </c:pt>
                <c:pt idx="30">
                  <c:v>113</c:v>
                </c:pt>
                <c:pt idx="31">
                  <c:v>118</c:v>
                </c:pt>
                <c:pt idx="32">
                  <c:v>122</c:v>
                </c:pt>
                <c:pt idx="33">
                  <c:v>124</c:v>
                </c:pt>
                <c:pt idx="34">
                  <c:v>128.5</c:v>
                </c:pt>
                <c:pt idx="35">
                  <c:v>129</c:v>
                </c:pt>
                <c:pt idx="36">
                  <c:v>132.5</c:v>
                </c:pt>
                <c:pt idx="37">
                  <c:v>134.5</c:v>
                </c:pt>
                <c:pt idx="38">
                  <c:v>136</c:v>
                </c:pt>
                <c:pt idx="39">
                  <c:v>142</c:v>
                </c:pt>
                <c:pt idx="40">
                  <c:v>146.5</c:v>
                </c:pt>
                <c:pt idx="41">
                  <c:v>147</c:v>
                </c:pt>
                <c:pt idx="42">
                  <c:v>150</c:v>
                </c:pt>
                <c:pt idx="43">
                  <c:v>150</c:v>
                </c:pt>
                <c:pt idx="44">
                  <c:v>156</c:v>
                </c:pt>
                <c:pt idx="45">
                  <c:v>161.5</c:v>
                </c:pt>
                <c:pt idx="46">
                  <c:v>163.5</c:v>
                </c:pt>
                <c:pt idx="47">
                  <c:v>168</c:v>
                </c:pt>
                <c:pt idx="48">
                  <c:v>170</c:v>
                </c:pt>
                <c:pt idx="49">
                  <c:v>174.5</c:v>
                </c:pt>
                <c:pt idx="50">
                  <c:v>179</c:v>
                </c:pt>
                <c:pt idx="51">
                  <c:v>182</c:v>
                </c:pt>
                <c:pt idx="52">
                  <c:v>183</c:v>
                </c:pt>
                <c:pt idx="53">
                  <c:v>184.5</c:v>
                </c:pt>
                <c:pt idx="54">
                  <c:v>187</c:v>
                </c:pt>
                <c:pt idx="55">
                  <c:v>187.5</c:v>
                </c:pt>
                <c:pt idx="56">
                  <c:v>192</c:v>
                </c:pt>
                <c:pt idx="57">
                  <c:v>193</c:v>
                </c:pt>
                <c:pt idx="58">
                  <c:v>194</c:v>
                </c:pt>
                <c:pt idx="59">
                  <c:v>198.5</c:v>
                </c:pt>
                <c:pt idx="60">
                  <c:v>203.5</c:v>
                </c:pt>
                <c:pt idx="61">
                  <c:v>207</c:v>
                </c:pt>
                <c:pt idx="62">
                  <c:v>211.5</c:v>
                </c:pt>
                <c:pt idx="63">
                  <c:v>215</c:v>
                </c:pt>
                <c:pt idx="64">
                  <c:v>216</c:v>
                </c:pt>
                <c:pt idx="65">
                  <c:v>219.5</c:v>
                </c:pt>
                <c:pt idx="66">
                  <c:v>220.5</c:v>
                </c:pt>
                <c:pt idx="67">
                  <c:v>224.5</c:v>
                </c:pt>
                <c:pt idx="68">
                  <c:v>228.5</c:v>
                </c:pt>
                <c:pt idx="69">
                  <c:v>234</c:v>
                </c:pt>
                <c:pt idx="70">
                  <c:v>237.5</c:v>
                </c:pt>
                <c:pt idx="71">
                  <c:v>242.5</c:v>
                </c:pt>
                <c:pt idx="72">
                  <c:v>247</c:v>
                </c:pt>
                <c:pt idx="73">
                  <c:v>252</c:v>
                </c:pt>
                <c:pt idx="74">
                  <c:v>255.5</c:v>
                </c:pt>
                <c:pt idx="75">
                  <c:v>256.5</c:v>
                </c:pt>
                <c:pt idx="76">
                  <c:v>261</c:v>
                </c:pt>
                <c:pt idx="77">
                  <c:v>266.5</c:v>
                </c:pt>
                <c:pt idx="78">
                  <c:v>271</c:v>
                </c:pt>
                <c:pt idx="79">
                  <c:v>277</c:v>
                </c:pt>
                <c:pt idx="80">
                  <c:v>282</c:v>
                </c:pt>
                <c:pt idx="81">
                  <c:v>282.5</c:v>
                </c:pt>
                <c:pt idx="82">
                  <c:v>288</c:v>
                </c:pt>
                <c:pt idx="83">
                  <c:v>291.5</c:v>
                </c:pt>
                <c:pt idx="84">
                  <c:v>294</c:v>
                </c:pt>
                <c:pt idx="85">
                  <c:v>299</c:v>
                </c:pt>
                <c:pt idx="86">
                  <c:v>302</c:v>
                </c:pt>
                <c:pt idx="87">
                  <c:v>305.5</c:v>
                </c:pt>
                <c:pt idx="88">
                  <c:v>308</c:v>
                </c:pt>
                <c:pt idx="89">
                  <c:v>309.5</c:v>
                </c:pt>
                <c:pt idx="90">
                  <c:v>313.5</c:v>
                </c:pt>
                <c:pt idx="91">
                  <c:v>316</c:v>
                </c:pt>
                <c:pt idx="92">
                  <c:v>321</c:v>
                </c:pt>
                <c:pt idx="93">
                  <c:v>324.5</c:v>
                </c:pt>
                <c:pt idx="94">
                  <c:v>335.5</c:v>
                </c:pt>
                <c:pt idx="95">
                  <c:v>349</c:v>
                </c:pt>
                <c:pt idx="96">
                  <c:v>354</c:v>
                </c:pt>
                <c:pt idx="97">
                  <c:v>358.5</c:v>
                </c:pt>
                <c:pt idx="98">
                  <c:v>369.5</c:v>
                </c:pt>
                <c:pt idx="99">
                  <c:v>384.5</c:v>
                </c:pt>
                <c:pt idx="100">
                  <c:v>397</c:v>
                </c:pt>
                <c:pt idx="101">
                  <c:v>410.5</c:v>
                </c:pt>
                <c:pt idx="102">
                  <c:v>423.5</c:v>
                </c:pt>
                <c:pt idx="103">
                  <c:v>437.5</c:v>
                </c:pt>
                <c:pt idx="104">
                  <c:v>450.5</c:v>
                </c:pt>
                <c:pt idx="105">
                  <c:v>469.5</c:v>
                </c:pt>
                <c:pt idx="106">
                  <c:v>486.5</c:v>
                </c:pt>
                <c:pt idx="107">
                  <c:v>507</c:v>
                </c:pt>
                <c:pt idx="108">
                  <c:v>527</c:v>
                </c:pt>
                <c:pt idx="109">
                  <c:v>547</c:v>
                </c:pt>
                <c:pt idx="110">
                  <c:v>567.5</c:v>
                </c:pt>
                <c:pt idx="111">
                  <c:v>586</c:v>
                </c:pt>
                <c:pt idx="112">
                  <c:v>607.5</c:v>
                </c:pt>
                <c:pt idx="113">
                  <c:v>628</c:v>
                </c:pt>
                <c:pt idx="114">
                  <c:v>651.5</c:v>
                </c:pt>
                <c:pt idx="115">
                  <c:v>672</c:v>
                </c:pt>
                <c:pt idx="116">
                  <c:v>698.5</c:v>
                </c:pt>
                <c:pt idx="117">
                  <c:v>728.5</c:v>
                </c:pt>
                <c:pt idx="118">
                  <c:v>755.5</c:v>
                </c:pt>
                <c:pt idx="119">
                  <c:v>778</c:v>
                </c:pt>
                <c:pt idx="120">
                  <c:v>808</c:v>
                </c:pt>
                <c:pt idx="121">
                  <c:v>840</c:v>
                </c:pt>
                <c:pt idx="122">
                  <c:v>871</c:v>
                </c:pt>
                <c:pt idx="123">
                  <c:v>908.5</c:v>
                </c:pt>
                <c:pt idx="124">
                  <c:v>942.5</c:v>
                </c:pt>
                <c:pt idx="125">
                  <c:v>982.5</c:v>
                </c:pt>
                <c:pt idx="126">
                  <c:v>1015.5</c:v>
                </c:pt>
                <c:pt idx="127">
                  <c:v>1050</c:v>
                </c:pt>
                <c:pt idx="128">
                  <c:v>1085</c:v>
                </c:pt>
                <c:pt idx="129">
                  <c:v>1134</c:v>
                </c:pt>
                <c:pt idx="130">
                  <c:v>5</c:v>
                </c:pt>
                <c:pt idx="131">
                  <c:v>6.5</c:v>
                </c:pt>
                <c:pt idx="132">
                  <c:v>11.5</c:v>
                </c:pt>
                <c:pt idx="133">
                  <c:v>12.5</c:v>
                </c:pt>
                <c:pt idx="134">
                  <c:v>14.5</c:v>
                </c:pt>
                <c:pt idx="135">
                  <c:v>20</c:v>
                </c:pt>
                <c:pt idx="136">
                  <c:v>23</c:v>
                </c:pt>
                <c:pt idx="137">
                  <c:v>25.5</c:v>
                </c:pt>
                <c:pt idx="138">
                  <c:v>31</c:v>
                </c:pt>
                <c:pt idx="139">
                  <c:v>36.5</c:v>
                </c:pt>
                <c:pt idx="140">
                  <c:v>41</c:v>
                </c:pt>
                <c:pt idx="141">
                  <c:v>47</c:v>
                </c:pt>
                <c:pt idx="142">
                  <c:v>48</c:v>
                </c:pt>
                <c:pt idx="143">
                  <c:v>51.5</c:v>
                </c:pt>
                <c:pt idx="144">
                  <c:v>53.5</c:v>
                </c:pt>
                <c:pt idx="145">
                  <c:v>56.5</c:v>
                </c:pt>
                <c:pt idx="146">
                  <c:v>60</c:v>
                </c:pt>
                <c:pt idx="147">
                  <c:v>62</c:v>
                </c:pt>
                <c:pt idx="148">
                  <c:v>64</c:v>
                </c:pt>
                <c:pt idx="149">
                  <c:v>66</c:v>
                </c:pt>
                <c:pt idx="150">
                  <c:v>68.5</c:v>
                </c:pt>
                <c:pt idx="151">
                  <c:v>74.5</c:v>
                </c:pt>
                <c:pt idx="152">
                  <c:v>77</c:v>
                </c:pt>
                <c:pt idx="153">
                  <c:v>80.5</c:v>
                </c:pt>
                <c:pt idx="154">
                  <c:v>85</c:v>
                </c:pt>
                <c:pt idx="155">
                  <c:v>90.5</c:v>
                </c:pt>
                <c:pt idx="156">
                  <c:v>92.5</c:v>
                </c:pt>
                <c:pt idx="157">
                  <c:v>94.5</c:v>
                </c:pt>
                <c:pt idx="158">
                  <c:v>99</c:v>
                </c:pt>
                <c:pt idx="159">
                  <c:v>101</c:v>
                </c:pt>
                <c:pt idx="160">
                  <c:v>105.5</c:v>
                </c:pt>
                <c:pt idx="161">
                  <c:v>111</c:v>
                </c:pt>
                <c:pt idx="162">
                  <c:v>117</c:v>
                </c:pt>
                <c:pt idx="163">
                  <c:v>120.5</c:v>
                </c:pt>
                <c:pt idx="164">
                  <c:v>122</c:v>
                </c:pt>
                <c:pt idx="165">
                  <c:v>125.5</c:v>
                </c:pt>
                <c:pt idx="166">
                  <c:v>128</c:v>
                </c:pt>
                <c:pt idx="167">
                  <c:v>128.5</c:v>
                </c:pt>
                <c:pt idx="168">
                  <c:v>132.5</c:v>
                </c:pt>
                <c:pt idx="169">
                  <c:v>134</c:v>
                </c:pt>
                <c:pt idx="170">
                  <c:v>137.5</c:v>
                </c:pt>
                <c:pt idx="171">
                  <c:v>140</c:v>
                </c:pt>
                <c:pt idx="172">
                  <c:v>142</c:v>
                </c:pt>
                <c:pt idx="173">
                  <c:v>143.5</c:v>
                </c:pt>
                <c:pt idx="174">
                  <c:v>147</c:v>
                </c:pt>
                <c:pt idx="175">
                  <c:v>149.5</c:v>
                </c:pt>
                <c:pt idx="176">
                  <c:v>156</c:v>
                </c:pt>
                <c:pt idx="177">
                  <c:v>167.5</c:v>
                </c:pt>
                <c:pt idx="178">
                  <c:v>175.5</c:v>
                </c:pt>
                <c:pt idx="179">
                  <c:v>179.5</c:v>
                </c:pt>
                <c:pt idx="180">
                  <c:v>183.5</c:v>
                </c:pt>
                <c:pt idx="181">
                  <c:v>186</c:v>
                </c:pt>
                <c:pt idx="182">
                  <c:v>191</c:v>
                </c:pt>
                <c:pt idx="183">
                  <c:v>192.5</c:v>
                </c:pt>
                <c:pt idx="184">
                  <c:v>194.5</c:v>
                </c:pt>
                <c:pt idx="185">
                  <c:v>198</c:v>
                </c:pt>
                <c:pt idx="186">
                  <c:v>199</c:v>
                </c:pt>
                <c:pt idx="187">
                  <c:v>201.5</c:v>
                </c:pt>
                <c:pt idx="188">
                  <c:v>206.5</c:v>
                </c:pt>
                <c:pt idx="189">
                  <c:v>211</c:v>
                </c:pt>
                <c:pt idx="190">
                  <c:v>215</c:v>
                </c:pt>
                <c:pt idx="191">
                  <c:v>220</c:v>
                </c:pt>
                <c:pt idx="192">
                  <c:v>225</c:v>
                </c:pt>
                <c:pt idx="193">
                  <c:v>229</c:v>
                </c:pt>
                <c:pt idx="194">
                  <c:v>234.5</c:v>
                </c:pt>
                <c:pt idx="195">
                  <c:v>237</c:v>
                </c:pt>
                <c:pt idx="196">
                  <c:v>241.5</c:v>
                </c:pt>
                <c:pt idx="197">
                  <c:v>247</c:v>
                </c:pt>
                <c:pt idx="198">
                  <c:v>248.5</c:v>
                </c:pt>
                <c:pt idx="199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CD-4160-805C-0C0BEA65E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029327"/>
        <c:axId val="1617031727"/>
      </c:lineChart>
      <c:dateAx>
        <c:axId val="161701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Presshub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7020207"/>
        <c:crosses val="autoZero"/>
        <c:auto val="0"/>
        <c:lblOffset val="100"/>
        <c:baseTimeUnit val="days"/>
        <c:majorUnit val="10"/>
        <c:minorUnit val="5"/>
      </c:dateAx>
      <c:valAx>
        <c:axId val="161702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Zusatzk</a:t>
                </a:r>
                <a:r>
                  <a:rPr lang="de-DE" baseline="0"/>
                  <a:t>osten</a:t>
                </a:r>
                <a:r>
                  <a:rPr lang="de-DE"/>
                  <a:t> je</a:t>
                </a:r>
                <a:r>
                  <a:rPr lang="de-DE" baseline="0"/>
                  <a:t> Presshub in €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7017327"/>
        <c:crosses val="autoZero"/>
        <c:crossBetween val="between"/>
      </c:valAx>
      <c:valAx>
        <c:axId val="161703172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Zusatzkosten</a:t>
                </a:r>
                <a:r>
                  <a:rPr lang="de-DE" baseline="0"/>
                  <a:t> kumulativ in €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7029327"/>
        <c:crosses val="max"/>
        <c:crossBetween val="between"/>
      </c:valAx>
      <c:catAx>
        <c:axId val="1617029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7031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Steinzeugkugeln.xlsx]Pivot_2!PivotTable3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Streuung</a:t>
            </a:r>
            <a:r>
              <a:rPr lang="de-DE" baseline="0"/>
              <a:t> der Kugelgröße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Pivot_2!$B$3:$B$4</c:f>
              <c:strCache>
                <c:ptCount val="1"/>
                <c:pt idx="0">
                  <c:v>Form_A1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Pivot_2!$A$5:$A$19</c:f>
              <c:strCache>
                <c:ptCount val="14"/>
                <c:pt idx="0">
                  <c:v>29,98-30,03</c:v>
                </c:pt>
                <c:pt idx="1">
                  <c:v>30,03-30,08</c:v>
                </c:pt>
                <c:pt idx="2">
                  <c:v>30,08-30,13</c:v>
                </c:pt>
                <c:pt idx="3">
                  <c:v>30,13-30,18</c:v>
                </c:pt>
                <c:pt idx="4">
                  <c:v>30,18-30,23</c:v>
                </c:pt>
                <c:pt idx="5">
                  <c:v>30,23-30,28</c:v>
                </c:pt>
                <c:pt idx="6">
                  <c:v>30,28-30,33</c:v>
                </c:pt>
                <c:pt idx="7">
                  <c:v>30,33-30,38</c:v>
                </c:pt>
                <c:pt idx="8">
                  <c:v>30,38-30,43</c:v>
                </c:pt>
                <c:pt idx="9">
                  <c:v>30,43-30,48</c:v>
                </c:pt>
                <c:pt idx="10">
                  <c:v>30,48-30,53</c:v>
                </c:pt>
                <c:pt idx="11">
                  <c:v>30,53-30,58</c:v>
                </c:pt>
                <c:pt idx="12">
                  <c:v>30,58-30,63</c:v>
                </c:pt>
                <c:pt idx="13">
                  <c:v>30,63-30,68</c:v>
                </c:pt>
              </c:strCache>
            </c:strRef>
          </c:cat>
          <c:val>
            <c:numRef>
              <c:f>Pivot_2!$B$5:$B$19</c:f>
              <c:numCache>
                <c:formatCode>General</c:formatCode>
                <c:ptCount val="14"/>
                <c:pt idx="0">
                  <c:v>6</c:v>
                </c:pt>
                <c:pt idx="1">
                  <c:v>10</c:v>
                </c:pt>
                <c:pt idx="2">
                  <c:v>7</c:v>
                </c:pt>
                <c:pt idx="3">
                  <c:v>14</c:v>
                </c:pt>
                <c:pt idx="4">
                  <c:v>9</c:v>
                </c:pt>
                <c:pt idx="5">
                  <c:v>8</c:v>
                </c:pt>
                <c:pt idx="6">
                  <c:v>11</c:v>
                </c:pt>
                <c:pt idx="7">
                  <c:v>13</c:v>
                </c:pt>
                <c:pt idx="8">
                  <c:v>10</c:v>
                </c:pt>
                <c:pt idx="9">
                  <c:v>8</c:v>
                </c:pt>
                <c:pt idx="10">
                  <c:v>10</c:v>
                </c:pt>
                <c:pt idx="11">
                  <c:v>9</c:v>
                </c:pt>
                <c:pt idx="12">
                  <c:v>10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1-4C81-B7F2-7D5D0872E555}"/>
            </c:ext>
          </c:extLst>
        </c:ser>
        <c:ser>
          <c:idx val="1"/>
          <c:order val="1"/>
          <c:tx>
            <c:strRef>
              <c:f>Pivot_2!$C$3:$C$4</c:f>
              <c:strCache>
                <c:ptCount val="1"/>
                <c:pt idx="0">
                  <c:v>Form_A2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Pivot_2!$A$5:$A$19</c:f>
              <c:strCache>
                <c:ptCount val="14"/>
                <c:pt idx="0">
                  <c:v>29,98-30,03</c:v>
                </c:pt>
                <c:pt idx="1">
                  <c:v>30,03-30,08</c:v>
                </c:pt>
                <c:pt idx="2">
                  <c:v>30,08-30,13</c:v>
                </c:pt>
                <c:pt idx="3">
                  <c:v>30,13-30,18</c:v>
                </c:pt>
                <c:pt idx="4">
                  <c:v>30,18-30,23</c:v>
                </c:pt>
                <c:pt idx="5">
                  <c:v>30,23-30,28</c:v>
                </c:pt>
                <c:pt idx="6">
                  <c:v>30,28-30,33</c:v>
                </c:pt>
                <c:pt idx="7">
                  <c:v>30,33-30,38</c:v>
                </c:pt>
                <c:pt idx="8">
                  <c:v>30,38-30,43</c:v>
                </c:pt>
                <c:pt idx="9">
                  <c:v>30,43-30,48</c:v>
                </c:pt>
                <c:pt idx="10">
                  <c:v>30,48-30,53</c:v>
                </c:pt>
                <c:pt idx="11">
                  <c:v>30,53-30,58</c:v>
                </c:pt>
                <c:pt idx="12">
                  <c:v>30,58-30,63</c:v>
                </c:pt>
                <c:pt idx="13">
                  <c:v>30,63-30,68</c:v>
                </c:pt>
              </c:strCache>
            </c:strRef>
          </c:cat>
          <c:val>
            <c:numRef>
              <c:f>Pivot_2!$C$5:$C$19</c:f>
              <c:numCache>
                <c:formatCode>General</c:formatCode>
                <c:ptCount val="14"/>
                <c:pt idx="0">
                  <c:v>1</c:v>
                </c:pt>
                <c:pt idx="1">
                  <c:v>14</c:v>
                </c:pt>
                <c:pt idx="2">
                  <c:v>8</c:v>
                </c:pt>
                <c:pt idx="3">
                  <c:v>12</c:v>
                </c:pt>
                <c:pt idx="4">
                  <c:v>8</c:v>
                </c:pt>
                <c:pt idx="5">
                  <c:v>11</c:v>
                </c:pt>
                <c:pt idx="6">
                  <c:v>13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1-4C81-B7F2-7D5D0872E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7077807"/>
        <c:axId val="1617086447"/>
      </c:barChart>
      <c:catAx>
        <c:axId val="161707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aseline="0"/>
                  <a:t>mittlerer Kugeldurchmesser in mm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7086447"/>
        <c:crosses val="autoZero"/>
        <c:auto val="1"/>
        <c:lblAlgn val="ctr"/>
        <c:lblOffset val="100"/>
        <c:noMultiLvlLbl val="0"/>
      </c:catAx>
      <c:valAx>
        <c:axId val="161708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Anteil der</a:t>
                </a:r>
                <a:r>
                  <a:rPr lang="de-DE" baseline="0"/>
                  <a:t> Kugeln im Durchmesserbereich in %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707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Steinzeugkugeln.xlsx]Pivot_1!PivotTable2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aseline="0"/>
              <a:t>Abweichung von der Kugelform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190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981530086516963E-2"/>
          <c:y val="0.20946418990443874"/>
          <c:w val="0.76664178882401601"/>
          <c:h val="0.55442960513913664"/>
        </c:manualLayout>
      </c:layout>
      <c:lineChart>
        <c:grouping val="standard"/>
        <c:varyColors val="0"/>
        <c:ser>
          <c:idx val="0"/>
          <c:order val="0"/>
          <c:tx>
            <c:strRef>
              <c:f>Pivot_1!$B$1</c:f>
              <c:strCache>
                <c:ptCount val="1"/>
                <c:pt idx="0">
                  <c:v>IST: Mittelwert Formabweichung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Pivot_1!$A$2:$A$202</c:f>
              <c:strCach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strCache>
            </c:strRef>
          </c:cat>
          <c:val>
            <c:numRef>
              <c:f>Pivot_1!$B$2:$B$202</c:f>
              <c:numCache>
                <c:formatCode>General</c:formatCode>
                <c:ptCount val="200"/>
                <c:pt idx="0">
                  <c:v>4.2024852071005916E-3</c:v>
                </c:pt>
                <c:pt idx="1">
                  <c:v>6.109940828402367E-3</c:v>
                </c:pt>
                <c:pt idx="2">
                  <c:v>6.2223668639053249E-3</c:v>
                </c:pt>
                <c:pt idx="3">
                  <c:v>5.3397633136094674E-3</c:v>
                </c:pt>
                <c:pt idx="4">
                  <c:v>5.4621301775147936E-3</c:v>
                </c:pt>
                <c:pt idx="5">
                  <c:v>5.6894674556213021E-3</c:v>
                </c:pt>
                <c:pt idx="6">
                  <c:v>5.3217751479289937E-3</c:v>
                </c:pt>
                <c:pt idx="7">
                  <c:v>3.7590532544378701E-3</c:v>
                </c:pt>
                <c:pt idx="8">
                  <c:v>3.9013017751479296E-3</c:v>
                </c:pt>
                <c:pt idx="9">
                  <c:v>5.4485207100591713E-3</c:v>
                </c:pt>
                <c:pt idx="10">
                  <c:v>5.7007100591715976E-3</c:v>
                </c:pt>
                <c:pt idx="11">
                  <c:v>6.657869822485207E-3</c:v>
                </c:pt>
                <c:pt idx="12">
                  <c:v>4.1200000000000004E-3</c:v>
                </c:pt>
                <c:pt idx="13">
                  <c:v>6.0871005917159764E-3</c:v>
                </c:pt>
                <c:pt idx="14">
                  <c:v>6.9591715976331367E-3</c:v>
                </c:pt>
                <c:pt idx="15">
                  <c:v>6.9362130177514792E-3</c:v>
                </c:pt>
                <c:pt idx="16">
                  <c:v>5.6182248520710056E-3</c:v>
                </c:pt>
                <c:pt idx="17">
                  <c:v>6.5052071005917162E-3</c:v>
                </c:pt>
                <c:pt idx="18">
                  <c:v>6.8971597633136093E-3</c:v>
                </c:pt>
                <c:pt idx="19">
                  <c:v>4.8940828402366868E-3</c:v>
                </c:pt>
                <c:pt idx="20">
                  <c:v>5.8959763313609472E-3</c:v>
                </c:pt>
                <c:pt idx="21">
                  <c:v>7.0028402366863916E-3</c:v>
                </c:pt>
                <c:pt idx="22">
                  <c:v>6.8146745562130181E-3</c:v>
                </c:pt>
                <c:pt idx="23">
                  <c:v>7.231479289940829E-3</c:v>
                </c:pt>
                <c:pt idx="24">
                  <c:v>7.5532544378698226E-3</c:v>
                </c:pt>
                <c:pt idx="25">
                  <c:v>7.7800000000000005E-3</c:v>
                </c:pt>
                <c:pt idx="26">
                  <c:v>6.311715976331362E-3</c:v>
                </c:pt>
                <c:pt idx="27">
                  <c:v>8.0484023668639052E-3</c:v>
                </c:pt>
                <c:pt idx="28">
                  <c:v>6.0900591715976329E-3</c:v>
                </c:pt>
                <c:pt idx="29">
                  <c:v>7.036686390532545E-3</c:v>
                </c:pt>
                <c:pt idx="30">
                  <c:v>8.6882840236686409E-3</c:v>
                </c:pt>
                <c:pt idx="31">
                  <c:v>8.344852071005918E-3</c:v>
                </c:pt>
                <c:pt idx="32">
                  <c:v>6.3063905325443786E-3</c:v>
                </c:pt>
                <c:pt idx="33">
                  <c:v>6.8728994082840238E-3</c:v>
                </c:pt>
                <c:pt idx="34">
                  <c:v>7.4443786982248527E-3</c:v>
                </c:pt>
                <c:pt idx="35">
                  <c:v>6.920828402366865E-3</c:v>
                </c:pt>
                <c:pt idx="36">
                  <c:v>9.3022485207100592E-3</c:v>
                </c:pt>
                <c:pt idx="37">
                  <c:v>7.1886390532544375E-3</c:v>
                </c:pt>
                <c:pt idx="38">
                  <c:v>8.1799999999999998E-3</c:v>
                </c:pt>
                <c:pt idx="39">
                  <c:v>9.6763313609467445E-3</c:v>
                </c:pt>
                <c:pt idx="40">
                  <c:v>8.9776331360946742E-3</c:v>
                </c:pt>
                <c:pt idx="41">
                  <c:v>7.9839053254437877E-3</c:v>
                </c:pt>
                <c:pt idx="42">
                  <c:v>9.6951479289940825E-3</c:v>
                </c:pt>
                <c:pt idx="43">
                  <c:v>9.2113609467455639E-3</c:v>
                </c:pt>
                <c:pt idx="44">
                  <c:v>1.0432544378698224E-2</c:v>
                </c:pt>
                <c:pt idx="45">
                  <c:v>1.1758698224852071E-2</c:v>
                </c:pt>
                <c:pt idx="46">
                  <c:v>1.0889822485207099E-2</c:v>
                </c:pt>
                <c:pt idx="47">
                  <c:v>1.1025917159763315E-2</c:v>
                </c:pt>
                <c:pt idx="48">
                  <c:v>1.0966982248520711E-2</c:v>
                </c:pt>
                <c:pt idx="49">
                  <c:v>1.071301775147929E-2</c:v>
                </c:pt>
                <c:pt idx="50">
                  <c:v>1.2864023668639054E-2</c:v>
                </c:pt>
                <c:pt idx="51">
                  <c:v>1.242E-2</c:v>
                </c:pt>
                <c:pt idx="52">
                  <c:v>1.178094674556213E-2</c:v>
                </c:pt>
                <c:pt idx="53">
                  <c:v>1.1146863905325445E-2</c:v>
                </c:pt>
                <c:pt idx="54">
                  <c:v>1.2017751479289941E-2</c:v>
                </c:pt>
                <c:pt idx="55">
                  <c:v>1.2993609467455623E-2</c:v>
                </c:pt>
                <c:pt idx="56">
                  <c:v>1.4474437869822486E-2</c:v>
                </c:pt>
                <c:pt idx="57">
                  <c:v>1.2160236686390533E-2</c:v>
                </c:pt>
                <c:pt idx="58">
                  <c:v>1.3151005917159762E-2</c:v>
                </c:pt>
                <c:pt idx="59">
                  <c:v>1.5346745562130179E-2</c:v>
                </c:pt>
                <c:pt idx="60">
                  <c:v>1.3947455621301777E-2</c:v>
                </c:pt>
                <c:pt idx="61">
                  <c:v>1.4953136094674557E-2</c:v>
                </c:pt>
                <c:pt idx="62">
                  <c:v>1.4963786982248522E-2</c:v>
                </c:pt>
                <c:pt idx="63">
                  <c:v>1.4979408284023671E-2</c:v>
                </c:pt>
                <c:pt idx="64">
                  <c:v>1.6400000000000001E-2</c:v>
                </c:pt>
                <c:pt idx="65">
                  <c:v>1.7025562130177516E-2</c:v>
                </c:pt>
                <c:pt idx="66">
                  <c:v>1.5656094674556212E-2</c:v>
                </c:pt>
                <c:pt idx="67">
                  <c:v>1.7691597633136096E-2</c:v>
                </c:pt>
                <c:pt idx="68">
                  <c:v>1.6832071005917163E-2</c:v>
                </c:pt>
                <c:pt idx="69">
                  <c:v>1.7977514792899406E-2</c:v>
                </c:pt>
                <c:pt idx="70">
                  <c:v>1.7627928994082838E-2</c:v>
                </c:pt>
                <c:pt idx="71">
                  <c:v>1.6783313609467457E-2</c:v>
                </c:pt>
                <c:pt idx="72">
                  <c:v>1.8643668639053257E-2</c:v>
                </c:pt>
                <c:pt idx="73">
                  <c:v>1.7708994082840237E-2</c:v>
                </c:pt>
                <c:pt idx="74">
                  <c:v>1.8379289940828401E-2</c:v>
                </c:pt>
                <c:pt idx="75">
                  <c:v>1.9754556213017756E-2</c:v>
                </c:pt>
                <c:pt idx="76">
                  <c:v>1.8534792899408285E-2</c:v>
                </c:pt>
                <c:pt idx="77">
                  <c:v>1.8619999999999998E-2</c:v>
                </c:pt>
                <c:pt idx="78">
                  <c:v>2.0110177514792899E-2</c:v>
                </c:pt>
                <c:pt idx="79">
                  <c:v>2.0605325443786984E-2</c:v>
                </c:pt>
                <c:pt idx="80">
                  <c:v>2.0105443786982251E-2</c:v>
                </c:pt>
                <c:pt idx="81">
                  <c:v>2.27105325443787E-2</c:v>
                </c:pt>
                <c:pt idx="82">
                  <c:v>2.1520591715976332E-2</c:v>
                </c:pt>
                <c:pt idx="83">
                  <c:v>2.3235621301775151E-2</c:v>
                </c:pt>
                <c:pt idx="84">
                  <c:v>2.2055621301775151E-2</c:v>
                </c:pt>
                <c:pt idx="85">
                  <c:v>2.2380591715976332E-2</c:v>
                </c:pt>
                <c:pt idx="86">
                  <c:v>2.2510532544378698E-2</c:v>
                </c:pt>
                <c:pt idx="87">
                  <c:v>2.3445443786982257E-2</c:v>
                </c:pt>
                <c:pt idx="88">
                  <c:v>2.5385325443786983E-2</c:v>
                </c:pt>
                <c:pt idx="89">
                  <c:v>2.5330177514792898E-2</c:v>
                </c:pt>
                <c:pt idx="90">
                  <c:v>2.4279999999999999E-2</c:v>
                </c:pt>
                <c:pt idx="91">
                  <c:v>2.6734792899408288E-2</c:v>
                </c:pt>
                <c:pt idx="92">
                  <c:v>2.4994556213017754E-2</c:v>
                </c:pt>
                <c:pt idx="93">
                  <c:v>2.8359289940828401E-2</c:v>
                </c:pt>
                <c:pt idx="94">
                  <c:v>2.8628994082840236E-2</c:v>
                </c:pt>
                <c:pt idx="95">
                  <c:v>2.8503668639053261E-2</c:v>
                </c:pt>
                <c:pt idx="96">
                  <c:v>2.9183313609467458E-2</c:v>
                </c:pt>
                <c:pt idx="97">
                  <c:v>2.966792899408284E-2</c:v>
                </c:pt>
                <c:pt idx="98">
                  <c:v>2.9357514792899411E-2</c:v>
                </c:pt>
                <c:pt idx="99">
                  <c:v>2.9252071005917164E-2</c:v>
                </c:pt>
                <c:pt idx="100">
                  <c:v>3.1851597633136094E-2</c:v>
                </c:pt>
                <c:pt idx="101">
                  <c:v>2.9356094674556216E-2</c:v>
                </c:pt>
                <c:pt idx="102">
                  <c:v>3.0165562130177515E-2</c:v>
                </c:pt>
                <c:pt idx="103">
                  <c:v>3.2780000000000004E-2</c:v>
                </c:pt>
                <c:pt idx="104">
                  <c:v>3.3299408284023668E-2</c:v>
                </c:pt>
                <c:pt idx="105">
                  <c:v>3.3023786982248525E-2</c:v>
                </c:pt>
                <c:pt idx="106">
                  <c:v>3.3753136094674556E-2</c:v>
                </c:pt>
                <c:pt idx="107">
                  <c:v>3.4487455621301781E-2</c:v>
                </c:pt>
                <c:pt idx="108">
                  <c:v>3.4726745562130179E-2</c:v>
                </c:pt>
                <c:pt idx="109">
                  <c:v>3.397100591715977E-2</c:v>
                </c:pt>
                <c:pt idx="110">
                  <c:v>3.5120236686390527E-2</c:v>
                </c:pt>
                <c:pt idx="111">
                  <c:v>3.4974437869822489E-2</c:v>
                </c:pt>
                <c:pt idx="112">
                  <c:v>3.5833609467455625E-2</c:v>
                </c:pt>
                <c:pt idx="113">
                  <c:v>3.6197751479289941E-2</c:v>
                </c:pt>
                <c:pt idx="114">
                  <c:v>3.7666863905325441E-2</c:v>
                </c:pt>
                <c:pt idx="115">
                  <c:v>3.9640946745562129E-2</c:v>
                </c:pt>
                <c:pt idx="116">
                  <c:v>4.0320000000000002E-2</c:v>
                </c:pt>
                <c:pt idx="117">
                  <c:v>3.9704023668639052E-2</c:v>
                </c:pt>
                <c:pt idx="118">
                  <c:v>4.0093017751479283E-2</c:v>
                </c:pt>
                <c:pt idx="119">
                  <c:v>3.9286982248520716E-2</c:v>
                </c:pt>
                <c:pt idx="120">
                  <c:v>4.1385917159763315E-2</c:v>
                </c:pt>
                <c:pt idx="121">
                  <c:v>4.2989822485207101E-2</c:v>
                </c:pt>
                <c:pt idx="122">
                  <c:v>4.1598698224852071E-2</c:v>
                </c:pt>
                <c:pt idx="123">
                  <c:v>4.3012544378698232E-2</c:v>
                </c:pt>
                <c:pt idx="124">
                  <c:v>4.4731360946745562E-2</c:v>
                </c:pt>
                <c:pt idx="125">
                  <c:v>4.5755147928994086E-2</c:v>
                </c:pt>
                <c:pt idx="126">
                  <c:v>4.4683905325443786E-2</c:v>
                </c:pt>
                <c:pt idx="127">
                  <c:v>4.5517633136094679E-2</c:v>
                </c:pt>
                <c:pt idx="128">
                  <c:v>4.6056331360946744E-2</c:v>
                </c:pt>
                <c:pt idx="129">
                  <c:v>4.65E-2</c:v>
                </c:pt>
                <c:pt idx="130">
                  <c:v>4.3042000000000002E-3</c:v>
                </c:pt>
                <c:pt idx="131">
                  <c:v>4.4168000000000002E-3</c:v>
                </c:pt>
                <c:pt idx="132">
                  <c:v>6.1378000000000005E-3</c:v>
                </c:pt>
                <c:pt idx="133">
                  <c:v>3.6671999999999998E-3</c:v>
                </c:pt>
                <c:pt idx="134">
                  <c:v>5.705E-3</c:v>
                </c:pt>
                <c:pt idx="135">
                  <c:v>4.3511999999999995E-3</c:v>
                </c:pt>
                <c:pt idx="136">
                  <c:v>6.4057999999999997E-3</c:v>
                </c:pt>
                <c:pt idx="137">
                  <c:v>3.8688000000000004E-3</c:v>
                </c:pt>
                <c:pt idx="138">
                  <c:v>5.8402000000000003E-3</c:v>
                </c:pt>
                <c:pt idx="139">
                  <c:v>3.9199999999999999E-3</c:v>
                </c:pt>
                <c:pt idx="140">
                  <c:v>5.2082000000000005E-3</c:v>
                </c:pt>
                <c:pt idx="141">
                  <c:v>4.6048E-3</c:v>
                </c:pt>
                <c:pt idx="142">
                  <c:v>7.2098000000000006E-3</c:v>
                </c:pt>
                <c:pt idx="143">
                  <c:v>6.7232000000000004E-3</c:v>
                </c:pt>
                <c:pt idx="144">
                  <c:v>7.2449999999999997E-3</c:v>
                </c:pt>
                <c:pt idx="145">
                  <c:v>5.0752000000000002E-3</c:v>
                </c:pt>
                <c:pt idx="146">
                  <c:v>5.6138000000000004E-3</c:v>
                </c:pt>
                <c:pt idx="147">
                  <c:v>7.6607999999999997E-3</c:v>
                </c:pt>
                <c:pt idx="148">
                  <c:v>6.2161999999999999E-3</c:v>
                </c:pt>
                <c:pt idx="149">
                  <c:v>5.3800000000000002E-3</c:v>
                </c:pt>
                <c:pt idx="150">
                  <c:v>7.8522000000000002E-3</c:v>
                </c:pt>
                <c:pt idx="151">
                  <c:v>6.9328000000000002E-3</c:v>
                </c:pt>
                <c:pt idx="152">
                  <c:v>7.0218000000000008E-3</c:v>
                </c:pt>
                <c:pt idx="153">
                  <c:v>7.4192000000000008E-3</c:v>
                </c:pt>
                <c:pt idx="154">
                  <c:v>7.6249999999999998E-3</c:v>
                </c:pt>
                <c:pt idx="155">
                  <c:v>7.0392000000000007E-3</c:v>
                </c:pt>
                <c:pt idx="156">
                  <c:v>7.2618000000000005E-3</c:v>
                </c:pt>
                <c:pt idx="157">
                  <c:v>9.4928000000000009E-3</c:v>
                </c:pt>
                <c:pt idx="158">
                  <c:v>7.832200000000001E-3</c:v>
                </c:pt>
                <c:pt idx="159">
                  <c:v>9.4799999999999988E-3</c:v>
                </c:pt>
                <c:pt idx="160">
                  <c:v>8.6362000000000019E-3</c:v>
                </c:pt>
                <c:pt idx="161">
                  <c:v>8.5008000000000011E-3</c:v>
                </c:pt>
                <c:pt idx="162">
                  <c:v>1.01738E-2</c:v>
                </c:pt>
                <c:pt idx="163">
                  <c:v>1.0055200000000002E-2</c:v>
                </c:pt>
                <c:pt idx="164">
                  <c:v>9.5449999999999997E-3</c:v>
                </c:pt>
                <c:pt idx="165">
                  <c:v>1.1443200000000001E-2</c:v>
                </c:pt>
                <c:pt idx="166">
                  <c:v>1.1749800000000001E-2</c:v>
                </c:pt>
                <c:pt idx="167">
                  <c:v>1.0564799999999999E-2</c:v>
                </c:pt>
                <c:pt idx="168">
                  <c:v>1.26882E-2</c:v>
                </c:pt>
                <c:pt idx="169">
                  <c:v>1.0820000000000001E-2</c:v>
                </c:pt>
                <c:pt idx="170">
                  <c:v>1.15602E-2</c:v>
                </c:pt>
                <c:pt idx="171">
                  <c:v>1.1308799999999999E-2</c:v>
                </c:pt>
                <c:pt idx="172">
                  <c:v>1.22658E-2</c:v>
                </c:pt>
                <c:pt idx="173">
                  <c:v>1.4631199999999999E-2</c:v>
                </c:pt>
                <c:pt idx="174">
                  <c:v>1.3904999999999999E-2</c:v>
                </c:pt>
                <c:pt idx="175">
                  <c:v>1.4587200000000002E-2</c:v>
                </c:pt>
                <c:pt idx="176">
                  <c:v>1.2977800000000001E-2</c:v>
                </c:pt>
                <c:pt idx="177">
                  <c:v>1.4876800000000001E-2</c:v>
                </c:pt>
                <c:pt idx="178">
                  <c:v>1.4284199999999999E-2</c:v>
                </c:pt>
                <c:pt idx="179">
                  <c:v>1.6400000000000001E-2</c:v>
                </c:pt>
                <c:pt idx="180">
                  <c:v>1.6524199999999999E-2</c:v>
                </c:pt>
                <c:pt idx="181">
                  <c:v>1.6956800000000001E-2</c:v>
                </c:pt>
                <c:pt idx="182">
                  <c:v>1.6897800000000001E-2</c:v>
                </c:pt>
                <c:pt idx="183">
                  <c:v>1.61472E-2</c:v>
                </c:pt>
                <c:pt idx="184">
                  <c:v>1.8905000000000002E-2</c:v>
                </c:pt>
                <c:pt idx="185">
                  <c:v>1.72712E-2</c:v>
                </c:pt>
                <c:pt idx="186">
                  <c:v>1.8945800000000002E-2</c:v>
                </c:pt>
                <c:pt idx="187">
                  <c:v>2.0328800000000001E-2</c:v>
                </c:pt>
                <c:pt idx="188">
                  <c:v>2.09202E-2</c:v>
                </c:pt>
                <c:pt idx="189">
                  <c:v>2.0119999999999999E-2</c:v>
                </c:pt>
                <c:pt idx="190">
                  <c:v>1.9728200000000001E-2</c:v>
                </c:pt>
                <c:pt idx="191">
                  <c:v>2.08448E-2</c:v>
                </c:pt>
                <c:pt idx="192">
                  <c:v>2.1369800000000001E-2</c:v>
                </c:pt>
                <c:pt idx="193">
                  <c:v>2.2803200000000003E-2</c:v>
                </c:pt>
                <c:pt idx="194">
                  <c:v>2.1245000000000003E-2</c:v>
                </c:pt>
                <c:pt idx="195">
                  <c:v>2.2995200000000004E-2</c:v>
                </c:pt>
                <c:pt idx="196">
                  <c:v>2.3253800000000005E-2</c:v>
                </c:pt>
                <c:pt idx="197">
                  <c:v>2.4820800000000007E-2</c:v>
                </c:pt>
                <c:pt idx="198">
                  <c:v>2.5096199999999999E-2</c:v>
                </c:pt>
                <c:pt idx="199">
                  <c:v>2.6179999999999998E-2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B2-4EF3-9207-5C73FA7B45EE}"/>
            </c:ext>
          </c:extLst>
        </c:ser>
        <c:ser>
          <c:idx val="1"/>
          <c:order val="1"/>
          <c:tx>
            <c:strRef>
              <c:f>Pivot_1!$C$1</c:f>
              <c:strCache>
                <c:ptCount val="1"/>
                <c:pt idx="0">
                  <c:v>SOLL: max. Formabweichung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Pivot_1!$A$2:$A$202</c:f>
              <c:strCach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strCache>
            </c:strRef>
          </c:cat>
          <c:val>
            <c:numRef>
              <c:f>Pivot_1!$C$2:$C$202</c:f>
              <c:numCache>
                <c:formatCode>General</c:formatCode>
                <c:ptCount val="200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0.04</c:v>
                </c:pt>
                <c:pt idx="36">
                  <c:v>0.04</c:v>
                </c:pt>
                <c:pt idx="37">
                  <c:v>0.04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0.04</c:v>
                </c:pt>
                <c:pt idx="45">
                  <c:v>0.04</c:v>
                </c:pt>
                <c:pt idx="46">
                  <c:v>0.04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0.04</c:v>
                </c:pt>
                <c:pt idx="53">
                  <c:v>0.04</c:v>
                </c:pt>
                <c:pt idx="54">
                  <c:v>0.04</c:v>
                </c:pt>
                <c:pt idx="55">
                  <c:v>0.04</c:v>
                </c:pt>
                <c:pt idx="56">
                  <c:v>0.04</c:v>
                </c:pt>
                <c:pt idx="57">
                  <c:v>0.04</c:v>
                </c:pt>
                <c:pt idx="58">
                  <c:v>0.04</c:v>
                </c:pt>
                <c:pt idx="59">
                  <c:v>0.04</c:v>
                </c:pt>
                <c:pt idx="60">
                  <c:v>0.04</c:v>
                </c:pt>
                <c:pt idx="61">
                  <c:v>0.04</c:v>
                </c:pt>
                <c:pt idx="62">
                  <c:v>0.04</c:v>
                </c:pt>
                <c:pt idx="63">
                  <c:v>0.04</c:v>
                </c:pt>
                <c:pt idx="64">
                  <c:v>0.04</c:v>
                </c:pt>
                <c:pt idx="65">
                  <c:v>0.04</c:v>
                </c:pt>
                <c:pt idx="66">
                  <c:v>0.04</c:v>
                </c:pt>
                <c:pt idx="67">
                  <c:v>0.04</c:v>
                </c:pt>
                <c:pt idx="68">
                  <c:v>0.04</c:v>
                </c:pt>
                <c:pt idx="69">
                  <c:v>0.04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0.04</c:v>
                </c:pt>
                <c:pt idx="79">
                  <c:v>0.04</c:v>
                </c:pt>
                <c:pt idx="80">
                  <c:v>0.04</c:v>
                </c:pt>
                <c:pt idx="81">
                  <c:v>0.04</c:v>
                </c:pt>
                <c:pt idx="82">
                  <c:v>0.04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0.04</c:v>
                </c:pt>
                <c:pt idx="87">
                  <c:v>0.04</c:v>
                </c:pt>
                <c:pt idx="88">
                  <c:v>0.04</c:v>
                </c:pt>
                <c:pt idx="89">
                  <c:v>0.04</c:v>
                </c:pt>
                <c:pt idx="90">
                  <c:v>0.04</c:v>
                </c:pt>
                <c:pt idx="91">
                  <c:v>0.04</c:v>
                </c:pt>
                <c:pt idx="92">
                  <c:v>0.04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0.04</c:v>
                </c:pt>
                <c:pt idx="98">
                  <c:v>0.04</c:v>
                </c:pt>
                <c:pt idx="99">
                  <c:v>0.04</c:v>
                </c:pt>
                <c:pt idx="100">
                  <c:v>0.04</c:v>
                </c:pt>
                <c:pt idx="101">
                  <c:v>0.04</c:v>
                </c:pt>
                <c:pt idx="102">
                  <c:v>0.04</c:v>
                </c:pt>
                <c:pt idx="103">
                  <c:v>0.04</c:v>
                </c:pt>
                <c:pt idx="104">
                  <c:v>0.04</c:v>
                </c:pt>
                <c:pt idx="105">
                  <c:v>0.04</c:v>
                </c:pt>
                <c:pt idx="106">
                  <c:v>0.04</c:v>
                </c:pt>
                <c:pt idx="107">
                  <c:v>0.04</c:v>
                </c:pt>
                <c:pt idx="108">
                  <c:v>0.04</c:v>
                </c:pt>
                <c:pt idx="109">
                  <c:v>0.04</c:v>
                </c:pt>
                <c:pt idx="110">
                  <c:v>0.04</c:v>
                </c:pt>
                <c:pt idx="111">
                  <c:v>0.04</c:v>
                </c:pt>
                <c:pt idx="112">
                  <c:v>0.04</c:v>
                </c:pt>
                <c:pt idx="113">
                  <c:v>0.04</c:v>
                </c:pt>
                <c:pt idx="114">
                  <c:v>0.04</c:v>
                </c:pt>
                <c:pt idx="115">
                  <c:v>0.04</c:v>
                </c:pt>
                <c:pt idx="116">
                  <c:v>0.04</c:v>
                </c:pt>
                <c:pt idx="117">
                  <c:v>0.04</c:v>
                </c:pt>
                <c:pt idx="118">
                  <c:v>0.04</c:v>
                </c:pt>
                <c:pt idx="119">
                  <c:v>0.04</c:v>
                </c:pt>
                <c:pt idx="120">
                  <c:v>0.04</c:v>
                </c:pt>
                <c:pt idx="121">
                  <c:v>0.04</c:v>
                </c:pt>
                <c:pt idx="122">
                  <c:v>0.04</c:v>
                </c:pt>
                <c:pt idx="123">
                  <c:v>0.04</c:v>
                </c:pt>
                <c:pt idx="124">
                  <c:v>0.04</c:v>
                </c:pt>
                <c:pt idx="125">
                  <c:v>0.04</c:v>
                </c:pt>
                <c:pt idx="126">
                  <c:v>0.04</c:v>
                </c:pt>
                <c:pt idx="127">
                  <c:v>0.04</c:v>
                </c:pt>
                <c:pt idx="128">
                  <c:v>0.04</c:v>
                </c:pt>
                <c:pt idx="129">
                  <c:v>0.04</c:v>
                </c:pt>
                <c:pt idx="130">
                  <c:v>0.04</c:v>
                </c:pt>
                <c:pt idx="131">
                  <c:v>0.04</c:v>
                </c:pt>
                <c:pt idx="132">
                  <c:v>0.04</c:v>
                </c:pt>
                <c:pt idx="133">
                  <c:v>0.04</c:v>
                </c:pt>
                <c:pt idx="134">
                  <c:v>0.04</c:v>
                </c:pt>
                <c:pt idx="135">
                  <c:v>0.04</c:v>
                </c:pt>
                <c:pt idx="136">
                  <c:v>0.04</c:v>
                </c:pt>
                <c:pt idx="137">
                  <c:v>0.04</c:v>
                </c:pt>
                <c:pt idx="138">
                  <c:v>0.04</c:v>
                </c:pt>
                <c:pt idx="139">
                  <c:v>0.04</c:v>
                </c:pt>
                <c:pt idx="140">
                  <c:v>0.04</c:v>
                </c:pt>
                <c:pt idx="141">
                  <c:v>0.04</c:v>
                </c:pt>
                <c:pt idx="142">
                  <c:v>0.04</c:v>
                </c:pt>
                <c:pt idx="143">
                  <c:v>0.04</c:v>
                </c:pt>
                <c:pt idx="144">
                  <c:v>0.04</c:v>
                </c:pt>
                <c:pt idx="145">
                  <c:v>0.04</c:v>
                </c:pt>
                <c:pt idx="146">
                  <c:v>0.04</c:v>
                </c:pt>
                <c:pt idx="147">
                  <c:v>0.04</c:v>
                </c:pt>
                <c:pt idx="148">
                  <c:v>0.04</c:v>
                </c:pt>
                <c:pt idx="149">
                  <c:v>0.04</c:v>
                </c:pt>
                <c:pt idx="150">
                  <c:v>0.04</c:v>
                </c:pt>
                <c:pt idx="151">
                  <c:v>0.04</c:v>
                </c:pt>
                <c:pt idx="152">
                  <c:v>0.04</c:v>
                </c:pt>
                <c:pt idx="153">
                  <c:v>0.04</c:v>
                </c:pt>
                <c:pt idx="154">
                  <c:v>0.04</c:v>
                </c:pt>
                <c:pt idx="155">
                  <c:v>0.04</c:v>
                </c:pt>
                <c:pt idx="156">
                  <c:v>0.04</c:v>
                </c:pt>
                <c:pt idx="157">
                  <c:v>0.04</c:v>
                </c:pt>
                <c:pt idx="158">
                  <c:v>0.04</c:v>
                </c:pt>
                <c:pt idx="159">
                  <c:v>0.04</c:v>
                </c:pt>
                <c:pt idx="160">
                  <c:v>0.04</c:v>
                </c:pt>
                <c:pt idx="161">
                  <c:v>0.04</c:v>
                </c:pt>
                <c:pt idx="162">
                  <c:v>0.04</c:v>
                </c:pt>
                <c:pt idx="163">
                  <c:v>0.04</c:v>
                </c:pt>
                <c:pt idx="164">
                  <c:v>0.04</c:v>
                </c:pt>
                <c:pt idx="165">
                  <c:v>0.04</c:v>
                </c:pt>
                <c:pt idx="166">
                  <c:v>0.04</c:v>
                </c:pt>
                <c:pt idx="167">
                  <c:v>0.04</c:v>
                </c:pt>
                <c:pt idx="168">
                  <c:v>0.04</c:v>
                </c:pt>
                <c:pt idx="169">
                  <c:v>0.04</c:v>
                </c:pt>
                <c:pt idx="170">
                  <c:v>0.04</c:v>
                </c:pt>
                <c:pt idx="171">
                  <c:v>0.04</c:v>
                </c:pt>
                <c:pt idx="172">
                  <c:v>0.04</c:v>
                </c:pt>
                <c:pt idx="173">
                  <c:v>0.04</c:v>
                </c:pt>
                <c:pt idx="174">
                  <c:v>0.04</c:v>
                </c:pt>
                <c:pt idx="175">
                  <c:v>0.04</c:v>
                </c:pt>
                <c:pt idx="176">
                  <c:v>0.04</c:v>
                </c:pt>
                <c:pt idx="177">
                  <c:v>0.04</c:v>
                </c:pt>
                <c:pt idx="178">
                  <c:v>0.04</c:v>
                </c:pt>
                <c:pt idx="179">
                  <c:v>0.04</c:v>
                </c:pt>
                <c:pt idx="180">
                  <c:v>0.04</c:v>
                </c:pt>
                <c:pt idx="181">
                  <c:v>0.04</c:v>
                </c:pt>
                <c:pt idx="182">
                  <c:v>0.04</c:v>
                </c:pt>
                <c:pt idx="183">
                  <c:v>0.04</c:v>
                </c:pt>
                <c:pt idx="184">
                  <c:v>0.04</c:v>
                </c:pt>
                <c:pt idx="185">
                  <c:v>0.04</c:v>
                </c:pt>
                <c:pt idx="186">
                  <c:v>0.04</c:v>
                </c:pt>
                <c:pt idx="187">
                  <c:v>0.04</c:v>
                </c:pt>
                <c:pt idx="188">
                  <c:v>0.04</c:v>
                </c:pt>
                <c:pt idx="189">
                  <c:v>0.04</c:v>
                </c:pt>
                <c:pt idx="190">
                  <c:v>0.04</c:v>
                </c:pt>
                <c:pt idx="191">
                  <c:v>0.04</c:v>
                </c:pt>
                <c:pt idx="192">
                  <c:v>0.04</c:v>
                </c:pt>
                <c:pt idx="193">
                  <c:v>0.04</c:v>
                </c:pt>
                <c:pt idx="194">
                  <c:v>0.04</c:v>
                </c:pt>
                <c:pt idx="195">
                  <c:v>0.04</c:v>
                </c:pt>
                <c:pt idx="196">
                  <c:v>0.04</c:v>
                </c:pt>
                <c:pt idx="197">
                  <c:v>0.04</c:v>
                </c:pt>
                <c:pt idx="198">
                  <c:v>0.04</c:v>
                </c:pt>
                <c:pt idx="199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2-4EF3-9207-5C73FA7B4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285391"/>
        <c:axId val="1430274831"/>
      </c:lineChart>
      <c:catAx>
        <c:axId val="143028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Presshub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30274831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4302748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Formabweichung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3028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19</xdr:row>
      <xdr:rowOff>180974</xdr:rowOff>
    </xdr:from>
    <xdr:to>
      <xdr:col>16</xdr:col>
      <xdr:colOff>533399</xdr:colOff>
      <xdr:row>36</xdr:row>
      <xdr:rowOff>104775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C4EB1C3-D647-4FE5-A5FE-1AF7B9B0A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600075</xdr:colOff>
      <xdr:row>2</xdr:row>
      <xdr:rowOff>190499</xdr:rowOff>
    </xdr:from>
    <xdr:to>
      <xdr:col>23</xdr:col>
      <xdr:colOff>85725</xdr:colOff>
      <xdr:row>36</xdr:row>
      <xdr:rowOff>104774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A048993-45AA-4C74-AADA-B2F80F335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3</xdr:row>
      <xdr:rowOff>1</xdr:rowOff>
    </xdr:from>
    <xdr:to>
      <xdr:col>16</xdr:col>
      <xdr:colOff>533400</xdr:colOff>
      <xdr:row>19</xdr:row>
      <xdr:rowOff>114300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2C94930A-91CF-4716-80C2-95B01BCB7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133349</xdr:colOff>
      <xdr:row>0</xdr:row>
      <xdr:rowOff>57150</xdr:rowOff>
    </xdr:from>
    <xdr:to>
      <xdr:col>23</xdr:col>
      <xdr:colOff>85724</xdr:colOff>
      <xdr:row>2</xdr:row>
      <xdr:rowOff>123825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BA065665-5D0D-D4FE-E157-8EBAB94FF7C2}"/>
            </a:ext>
          </a:extLst>
        </xdr:cNvPr>
        <xdr:cNvSpPr/>
      </xdr:nvSpPr>
      <xdr:spPr>
        <a:xfrm>
          <a:off x="133349" y="57150"/>
          <a:ext cx="17478375" cy="447675"/>
        </a:xfrm>
        <a:prstGeom prst="rect">
          <a:avLst/>
        </a:prstGeom>
        <a:solidFill>
          <a:schemeClr val="bg2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de-DE" sz="2400" baseline="0">
              <a:solidFill>
                <a:sysClr val="windowText" lastClr="000000"/>
              </a:solidFill>
            </a:rPr>
            <a:t>Statusbericht: Werkzeugstandzeit, Produktqualität und Ausschusskosten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S2025" refreshedDate="46009.035415740742" createdVersion="8" refreshedVersion="8" minRefreshableVersion="3" recordCount="200" xr:uid="{DCE958C9-45BF-448D-A8EA-548DDFCA9D0F}">
  <cacheSource type="worksheet">
    <worksheetSource ref="A1:M201" sheet="Daten"/>
  </cacheSource>
  <cacheFields count="13">
    <cacheField name="Charge" numFmtId="0">
      <sharedItems containsSemiMixedTypes="0" containsString="0" containsNumber="1" containsInteger="1" minValue="1" maxValue="200" count="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Werkzeug-ID" numFmtId="0">
      <sharedItems count="2">
        <s v="Form_A1"/>
        <s v="Form_A2"/>
      </sharedItems>
    </cacheField>
    <cacheField name="D_soll​" numFmtId="0">
      <sharedItems containsSemiMixedTypes="0" containsString="0" containsNumber="1" containsInteger="1" minValue="30" maxValue="30"/>
    </cacheField>
    <cacheField name="D_mittel​" numFmtId="2">
      <sharedItems containsSemiMixedTypes="0" containsString="0" containsNumber="1" minValue="29.98" maxValue="30.65" count="64">
        <n v="30.01"/>
        <n v="29.98"/>
        <n v="29.99"/>
        <n v="30.04"/>
        <n v="30.07"/>
        <n v="30.02"/>
        <n v="30.05"/>
        <n v="30.06"/>
        <n v="30.09"/>
        <n v="30.08"/>
        <n v="30.11"/>
        <n v="30.14"/>
        <n v="30.1"/>
        <n v="30.12"/>
        <n v="30.15"/>
        <n v="30.13"/>
        <n v="30.18"/>
        <n v="30.16"/>
        <n v="30.17"/>
        <n v="30.2"/>
        <n v="30.21"/>
        <n v="30.22"/>
        <n v="30.19"/>
        <n v="30.26"/>
        <n v="30.24"/>
        <n v="30.28"/>
        <n v="30.25"/>
        <n v="30.3"/>
        <n v="30.29"/>
        <n v="30.27"/>
        <n v="30.31"/>
        <n v="30.35"/>
        <n v="30.33"/>
        <n v="30.34"/>
        <n v="30.36"/>
        <n v="30.37"/>
        <n v="30.4"/>
        <n v="30.38"/>
        <n v="30.41"/>
        <n v="30.43"/>
        <n v="30.45"/>
        <n v="30.42"/>
        <n v="30.44"/>
        <n v="30.47"/>
        <n v="30.46"/>
        <n v="30.5"/>
        <n v="30.49"/>
        <n v="30.51"/>
        <n v="30.53"/>
        <n v="30.52"/>
        <n v="30.54"/>
        <n v="30.57"/>
        <n v="30.59"/>
        <n v="30.61"/>
        <n v="30.56"/>
        <n v="30.58"/>
        <n v="30.62"/>
        <n v="30.6"/>
        <n v="30.63"/>
        <n v="30.64"/>
        <n v="30.65"/>
        <n v="30"/>
        <n v="30.23"/>
        <n v="30.32"/>
      </sharedItems>
      <fieldGroup base="3">
        <rangePr startNum="29.98" endNum="30.65" groupInterval="0.05"/>
        <groupItems count="16">
          <s v="&lt;29,98"/>
          <s v="29,98-30,03"/>
          <s v="30,03-30,08"/>
          <s v="30,08-30,13"/>
          <s v="30,13-30,18"/>
          <s v="30,18-30,23"/>
          <s v="30,23-30,28"/>
          <s v="30,28-30,33"/>
          <s v="30,33-30,38"/>
          <s v="30,38-30,43"/>
          <s v="30,43-30,48"/>
          <s v="30,48-30,53"/>
          <s v="30,53-30,58"/>
          <s v="30,58-30,63"/>
          <s v="30,63-30,68"/>
          <s v="&gt;30,68"/>
        </groupItems>
      </fieldGroup>
    </cacheField>
    <cacheField name="Unrundheit" numFmtId="164">
      <sharedItems containsSemiMixedTypes="0" containsString="0" containsNumber="1" minValue="3.6671999999999998E-3" maxValue="4.65E-2"/>
    </cacheField>
    <cacheField name="Soll_Menge" numFmtId="0">
      <sharedItems containsSemiMixedTypes="0" containsString="0" containsNumber="1" containsInteger="1" minValue="1000" maxValue="1000"/>
    </cacheField>
    <cacheField name="Ausschuss_Material" numFmtId="0">
      <sharedItems containsSemiMixedTypes="0" containsString="0" containsNumber="1" containsInteger="1" minValue="0" maxValue="23"/>
    </cacheField>
    <cacheField name="Grenze_unrund" numFmtId="0">
      <sharedItems containsSemiMixedTypes="0" containsString="0" containsNumber="1" minValue="0.04" maxValue="0.04"/>
    </cacheField>
    <cacheField name="Ausschuss_Form" numFmtId="0">
      <sharedItems containsSemiMixedTypes="0" containsString="0" containsNumber="1" containsInteger="1" minValue="0" maxValue="92"/>
    </cacheField>
    <cacheField name="Ausschuss_gesamt" numFmtId="0">
      <sharedItems containsSemiMixedTypes="0" containsString="0" containsNumber="1" containsInteger="1" minValue="0" maxValue="98"/>
    </cacheField>
    <cacheField name="H_Kosten_pro_Stück" numFmtId="0">
      <sharedItems containsSemiMixedTypes="0" containsString="0" containsNumber="1" minValue="0.5" maxValue="0.5"/>
    </cacheField>
    <cacheField name="Verlust_Euro" numFmtId="2">
      <sharedItems containsSemiMixedTypes="0" containsString="0" containsNumber="1" minValue="0" maxValue="49"/>
    </cacheField>
    <cacheField name="verlust kum." numFmtId="2">
      <sharedItems containsSemiMixedTypes="0" containsString="0" containsNumber="1" minValue="3.5" maxValue="11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30"/>
    <x v="0"/>
    <n v="4.2024852071005916E-3"/>
    <n v="1000"/>
    <n v="7"/>
    <n v="0.04"/>
    <n v="0"/>
    <n v="7"/>
    <n v="0.5"/>
    <n v="3.5"/>
    <n v="3.5"/>
  </r>
  <r>
    <x v="1"/>
    <x v="0"/>
    <n v="30"/>
    <x v="1"/>
    <n v="6.109940828402367E-3"/>
    <n v="1000"/>
    <n v="6"/>
    <n v="0.04"/>
    <n v="1"/>
    <n v="7"/>
    <n v="0.5"/>
    <n v="3.5"/>
    <n v="7"/>
  </r>
  <r>
    <x v="2"/>
    <x v="0"/>
    <n v="30"/>
    <x v="2"/>
    <n v="6.2223668639053249E-3"/>
    <n v="1000"/>
    <n v="7"/>
    <n v="0.04"/>
    <n v="2"/>
    <n v="9"/>
    <n v="0.5"/>
    <n v="4.5"/>
    <n v="11.5"/>
  </r>
  <r>
    <x v="3"/>
    <x v="0"/>
    <n v="30"/>
    <x v="2"/>
    <n v="5.3397633136094674E-3"/>
    <n v="1000"/>
    <n v="7"/>
    <n v="0.04"/>
    <n v="1"/>
    <n v="8"/>
    <n v="0.5"/>
    <n v="4"/>
    <n v="15.5"/>
  </r>
  <r>
    <x v="4"/>
    <x v="0"/>
    <n v="30"/>
    <x v="3"/>
    <n v="5.4621301775147936E-3"/>
    <n v="1000"/>
    <n v="3"/>
    <n v="0.04"/>
    <n v="0"/>
    <n v="3"/>
    <n v="0.5"/>
    <n v="1.5"/>
    <n v="17"/>
  </r>
  <r>
    <x v="5"/>
    <x v="0"/>
    <n v="30"/>
    <x v="0"/>
    <n v="5.6894674556213021E-3"/>
    <n v="1000"/>
    <n v="10"/>
    <n v="0.04"/>
    <n v="1"/>
    <n v="11"/>
    <n v="0.5"/>
    <n v="5.5"/>
    <n v="22.5"/>
  </r>
  <r>
    <x v="6"/>
    <x v="0"/>
    <n v="30"/>
    <x v="4"/>
    <n v="5.3217751479289937E-3"/>
    <n v="1000"/>
    <n v="6"/>
    <n v="0.04"/>
    <n v="1"/>
    <n v="7"/>
    <n v="0.5"/>
    <n v="3.5"/>
    <n v="26"/>
  </r>
  <r>
    <x v="7"/>
    <x v="0"/>
    <n v="30"/>
    <x v="5"/>
    <n v="3.7590532544378701E-3"/>
    <n v="1000"/>
    <n v="7"/>
    <n v="0.04"/>
    <n v="2"/>
    <n v="9"/>
    <n v="0.5"/>
    <n v="4.5"/>
    <n v="30.5"/>
  </r>
  <r>
    <x v="8"/>
    <x v="0"/>
    <n v="30"/>
    <x v="6"/>
    <n v="3.9013017751479296E-3"/>
    <n v="1000"/>
    <n v="8"/>
    <n v="0.04"/>
    <n v="0"/>
    <n v="8"/>
    <n v="0.5"/>
    <n v="4"/>
    <n v="34.5"/>
  </r>
  <r>
    <x v="9"/>
    <x v="0"/>
    <n v="30"/>
    <x v="3"/>
    <n v="5.4485207100591713E-3"/>
    <n v="1000"/>
    <n v="2"/>
    <n v="0.04"/>
    <n v="1"/>
    <n v="3"/>
    <n v="0.5"/>
    <n v="1.5"/>
    <n v="36"/>
  </r>
  <r>
    <x v="10"/>
    <x v="0"/>
    <n v="30"/>
    <x v="4"/>
    <n v="5.7007100591715976E-3"/>
    <n v="1000"/>
    <n v="6"/>
    <n v="0.04"/>
    <n v="1"/>
    <n v="7"/>
    <n v="0.5"/>
    <n v="3.5"/>
    <n v="39.5"/>
  </r>
  <r>
    <x v="11"/>
    <x v="0"/>
    <n v="30"/>
    <x v="7"/>
    <n v="6.657869822485207E-3"/>
    <n v="1000"/>
    <n v="2"/>
    <n v="0.04"/>
    <n v="2"/>
    <n v="4"/>
    <n v="0.5"/>
    <n v="2"/>
    <n v="41.5"/>
  </r>
  <r>
    <x v="12"/>
    <x v="0"/>
    <n v="30"/>
    <x v="8"/>
    <n v="4.1200000000000004E-3"/>
    <n v="1000"/>
    <n v="7"/>
    <n v="0.04"/>
    <n v="0"/>
    <n v="7"/>
    <n v="0.5"/>
    <n v="3.5"/>
    <n v="45"/>
  </r>
  <r>
    <x v="13"/>
    <x v="0"/>
    <n v="30"/>
    <x v="9"/>
    <n v="6.0871005917159764E-3"/>
    <n v="1000"/>
    <n v="2"/>
    <n v="0.04"/>
    <n v="2"/>
    <n v="4"/>
    <n v="0.5"/>
    <n v="2"/>
    <n v="47"/>
  </r>
  <r>
    <x v="14"/>
    <x v="0"/>
    <n v="30"/>
    <x v="10"/>
    <n v="6.9591715976331367E-3"/>
    <n v="1000"/>
    <n v="7"/>
    <n v="0.04"/>
    <n v="1"/>
    <n v="8"/>
    <n v="0.5"/>
    <n v="4"/>
    <n v="51"/>
  </r>
  <r>
    <x v="15"/>
    <x v="0"/>
    <n v="30"/>
    <x v="9"/>
    <n v="6.9362130177514792E-3"/>
    <n v="1000"/>
    <n v="10"/>
    <n v="0.04"/>
    <n v="1"/>
    <n v="11"/>
    <n v="0.5"/>
    <n v="5.5"/>
    <n v="56.5"/>
  </r>
  <r>
    <x v="16"/>
    <x v="0"/>
    <n v="30"/>
    <x v="7"/>
    <n v="5.6182248520710056E-3"/>
    <n v="1000"/>
    <n v="4"/>
    <n v="0.04"/>
    <n v="2"/>
    <n v="6"/>
    <n v="0.5"/>
    <n v="3"/>
    <n v="59.5"/>
  </r>
  <r>
    <x v="17"/>
    <x v="0"/>
    <n v="30"/>
    <x v="10"/>
    <n v="6.5052071005917162E-3"/>
    <n v="1000"/>
    <n v="3"/>
    <n v="0.04"/>
    <n v="1"/>
    <n v="4"/>
    <n v="0.5"/>
    <n v="2"/>
    <n v="61.5"/>
  </r>
  <r>
    <x v="18"/>
    <x v="0"/>
    <n v="30"/>
    <x v="4"/>
    <n v="6.8971597633136093E-3"/>
    <n v="1000"/>
    <n v="5"/>
    <n v="0.04"/>
    <n v="2"/>
    <n v="7"/>
    <n v="0.5"/>
    <n v="3.5"/>
    <n v="65"/>
  </r>
  <r>
    <x v="19"/>
    <x v="0"/>
    <n v="30"/>
    <x v="11"/>
    <n v="4.8940828402366868E-3"/>
    <n v="1000"/>
    <n v="9"/>
    <n v="0.04"/>
    <n v="0"/>
    <n v="9"/>
    <n v="0.5"/>
    <n v="4.5"/>
    <n v="69.5"/>
  </r>
  <r>
    <x v="20"/>
    <x v="0"/>
    <n v="30"/>
    <x v="12"/>
    <n v="5.8959763313609472E-3"/>
    <n v="1000"/>
    <n v="5"/>
    <n v="0.04"/>
    <n v="2"/>
    <n v="7"/>
    <n v="0.5"/>
    <n v="3.5"/>
    <n v="73"/>
  </r>
  <r>
    <x v="21"/>
    <x v="0"/>
    <n v="30"/>
    <x v="13"/>
    <n v="7.0028402366863916E-3"/>
    <n v="1000"/>
    <n v="7"/>
    <n v="0.04"/>
    <n v="2"/>
    <n v="9"/>
    <n v="0.5"/>
    <n v="4.5"/>
    <n v="77.5"/>
  </r>
  <r>
    <x v="22"/>
    <x v="0"/>
    <n v="30"/>
    <x v="11"/>
    <n v="6.8146745562130181E-3"/>
    <n v="1000"/>
    <n v="9"/>
    <n v="0.04"/>
    <n v="0"/>
    <n v="9"/>
    <n v="0.5"/>
    <n v="4.5"/>
    <n v="82"/>
  </r>
  <r>
    <x v="23"/>
    <x v="0"/>
    <n v="30"/>
    <x v="14"/>
    <n v="7.231479289940829E-3"/>
    <n v="1000"/>
    <n v="9"/>
    <n v="0.04"/>
    <n v="1"/>
    <n v="10"/>
    <n v="0.5"/>
    <n v="5"/>
    <n v="87"/>
  </r>
  <r>
    <x v="24"/>
    <x v="0"/>
    <n v="30"/>
    <x v="10"/>
    <n v="7.5532544378698226E-3"/>
    <n v="1000"/>
    <n v="5"/>
    <n v="0.04"/>
    <n v="2"/>
    <n v="7"/>
    <n v="0.5"/>
    <n v="3.5"/>
    <n v="90.5"/>
  </r>
  <r>
    <x v="25"/>
    <x v="0"/>
    <n v="30"/>
    <x v="15"/>
    <n v="7.7800000000000005E-3"/>
    <n v="1000"/>
    <n v="9"/>
    <n v="0.04"/>
    <n v="1"/>
    <n v="10"/>
    <n v="0.5"/>
    <n v="5"/>
    <n v="95.5"/>
  </r>
  <r>
    <x v="26"/>
    <x v="0"/>
    <n v="30"/>
    <x v="14"/>
    <n v="6.311715976331362E-3"/>
    <n v="1000"/>
    <n v="4"/>
    <n v="0.04"/>
    <n v="0"/>
    <n v="4"/>
    <n v="0.5"/>
    <n v="2"/>
    <n v="97.5"/>
  </r>
  <r>
    <x v="27"/>
    <x v="0"/>
    <n v="30"/>
    <x v="16"/>
    <n v="8.0484023668639052E-3"/>
    <n v="1000"/>
    <n v="9"/>
    <n v="0.04"/>
    <n v="1"/>
    <n v="10"/>
    <n v="0.5"/>
    <n v="5"/>
    <n v="102.5"/>
  </r>
  <r>
    <x v="28"/>
    <x v="0"/>
    <n v="30"/>
    <x v="14"/>
    <n v="6.0900591715976329E-3"/>
    <n v="1000"/>
    <n v="4"/>
    <n v="0.04"/>
    <n v="0"/>
    <n v="4"/>
    <n v="0.5"/>
    <n v="2"/>
    <n v="104.5"/>
  </r>
  <r>
    <x v="29"/>
    <x v="0"/>
    <n v="30"/>
    <x v="17"/>
    <n v="7.036686390532545E-3"/>
    <n v="1000"/>
    <n v="8"/>
    <n v="0.04"/>
    <n v="1"/>
    <n v="9"/>
    <n v="0.5"/>
    <n v="4.5"/>
    <n v="109"/>
  </r>
  <r>
    <x v="30"/>
    <x v="0"/>
    <n v="30"/>
    <x v="18"/>
    <n v="8.6882840236686409E-3"/>
    <n v="1000"/>
    <n v="7"/>
    <n v="0.04"/>
    <n v="1"/>
    <n v="8"/>
    <n v="0.5"/>
    <n v="4"/>
    <n v="113"/>
  </r>
  <r>
    <x v="31"/>
    <x v="0"/>
    <n v="30"/>
    <x v="14"/>
    <n v="8.344852071005918E-3"/>
    <n v="1000"/>
    <n v="8"/>
    <n v="0.04"/>
    <n v="2"/>
    <n v="10"/>
    <n v="0.5"/>
    <n v="5"/>
    <n v="118"/>
  </r>
  <r>
    <x v="32"/>
    <x v="0"/>
    <n v="30"/>
    <x v="17"/>
    <n v="6.3063905325443786E-3"/>
    <n v="1000"/>
    <n v="8"/>
    <n v="0.04"/>
    <n v="0"/>
    <n v="8"/>
    <n v="0.5"/>
    <n v="4"/>
    <n v="122"/>
  </r>
  <r>
    <x v="33"/>
    <x v="0"/>
    <n v="30"/>
    <x v="17"/>
    <n v="6.8728994082840238E-3"/>
    <n v="1000"/>
    <n v="3"/>
    <n v="0.04"/>
    <n v="1"/>
    <n v="4"/>
    <n v="0.5"/>
    <n v="2"/>
    <n v="124"/>
  </r>
  <r>
    <x v="34"/>
    <x v="0"/>
    <n v="30"/>
    <x v="18"/>
    <n v="7.4443786982248527E-3"/>
    <n v="1000"/>
    <n v="7"/>
    <n v="0.04"/>
    <n v="2"/>
    <n v="9"/>
    <n v="0.5"/>
    <n v="4.5"/>
    <n v="128.5"/>
  </r>
  <r>
    <x v="35"/>
    <x v="0"/>
    <n v="30"/>
    <x v="18"/>
    <n v="6.920828402366865E-3"/>
    <n v="1000"/>
    <n v="1"/>
    <n v="0.04"/>
    <n v="0"/>
    <n v="1"/>
    <n v="0.5"/>
    <n v="0.5"/>
    <n v="129"/>
  </r>
  <r>
    <x v="36"/>
    <x v="0"/>
    <n v="30"/>
    <x v="19"/>
    <n v="9.3022485207100592E-3"/>
    <n v="1000"/>
    <n v="5"/>
    <n v="0.04"/>
    <n v="2"/>
    <n v="7"/>
    <n v="0.5"/>
    <n v="3.5"/>
    <n v="132.5"/>
  </r>
  <r>
    <x v="37"/>
    <x v="0"/>
    <n v="30"/>
    <x v="18"/>
    <n v="7.1886390532544375E-3"/>
    <n v="1000"/>
    <n v="2"/>
    <n v="0.04"/>
    <n v="2"/>
    <n v="4"/>
    <n v="0.5"/>
    <n v="2"/>
    <n v="134.5"/>
  </r>
  <r>
    <x v="38"/>
    <x v="0"/>
    <n v="30"/>
    <x v="20"/>
    <n v="8.1799999999999998E-3"/>
    <n v="1000"/>
    <n v="1"/>
    <n v="0.04"/>
    <n v="2"/>
    <n v="3"/>
    <n v="0.5"/>
    <n v="1.5"/>
    <n v="136"/>
  </r>
  <r>
    <x v="39"/>
    <x v="0"/>
    <n v="30"/>
    <x v="20"/>
    <n v="9.6763313609467445E-3"/>
    <n v="1000"/>
    <n v="10"/>
    <n v="0.04"/>
    <n v="2"/>
    <n v="12"/>
    <n v="0.5"/>
    <n v="6"/>
    <n v="142"/>
  </r>
  <r>
    <x v="40"/>
    <x v="0"/>
    <n v="30"/>
    <x v="21"/>
    <n v="8.9776331360946742E-3"/>
    <n v="1000"/>
    <n v="7"/>
    <n v="0.04"/>
    <n v="2"/>
    <n v="9"/>
    <n v="0.5"/>
    <n v="4.5"/>
    <n v="146.5"/>
  </r>
  <r>
    <x v="41"/>
    <x v="0"/>
    <n v="30"/>
    <x v="22"/>
    <n v="7.9839053254437877E-3"/>
    <n v="1000"/>
    <n v="1"/>
    <n v="0.04"/>
    <n v="0"/>
    <n v="1"/>
    <n v="0.5"/>
    <n v="0.5"/>
    <n v="147"/>
  </r>
  <r>
    <x v="42"/>
    <x v="0"/>
    <n v="30"/>
    <x v="21"/>
    <n v="9.6951479289940825E-3"/>
    <n v="1000"/>
    <n v="6"/>
    <n v="0.04"/>
    <n v="0"/>
    <n v="6"/>
    <n v="0.5"/>
    <n v="3"/>
    <n v="150"/>
  </r>
  <r>
    <x v="43"/>
    <x v="0"/>
    <n v="30"/>
    <x v="23"/>
    <n v="9.2113609467455639E-3"/>
    <n v="1000"/>
    <n v="0"/>
    <n v="0.04"/>
    <n v="0"/>
    <n v="0"/>
    <n v="0.5"/>
    <n v="0"/>
    <n v="150"/>
  </r>
  <r>
    <x v="44"/>
    <x v="0"/>
    <n v="30"/>
    <x v="19"/>
    <n v="1.0432544378698224E-2"/>
    <n v="1000"/>
    <n v="10"/>
    <n v="0.04"/>
    <n v="2"/>
    <n v="12"/>
    <n v="0.5"/>
    <n v="6"/>
    <n v="156"/>
  </r>
  <r>
    <x v="45"/>
    <x v="0"/>
    <n v="30"/>
    <x v="24"/>
    <n v="1.1758698224852071E-2"/>
    <n v="1000"/>
    <n v="10"/>
    <n v="0.04"/>
    <n v="1"/>
    <n v="11"/>
    <n v="0.5"/>
    <n v="5.5"/>
    <n v="161.5"/>
  </r>
  <r>
    <x v="46"/>
    <x v="0"/>
    <n v="30"/>
    <x v="20"/>
    <n v="1.0889822485207099E-2"/>
    <n v="1000"/>
    <n v="2"/>
    <n v="0.04"/>
    <n v="2"/>
    <n v="4"/>
    <n v="0.5"/>
    <n v="2"/>
    <n v="163.5"/>
  </r>
  <r>
    <x v="47"/>
    <x v="0"/>
    <n v="30"/>
    <x v="24"/>
    <n v="1.1025917159763315E-2"/>
    <n v="1000"/>
    <n v="9"/>
    <n v="0.04"/>
    <n v="0"/>
    <n v="9"/>
    <n v="0.5"/>
    <n v="4.5"/>
    <n v="168"/>
  </r>
  <r>
    <x v="48"/>
    <x v="0"/>
    <n v="30"/>
    <x v="21"/>
    <n v="1.0966982248520711E-2"/>
    <n v="1000"/>
    <n v="4"/>
    <n v="0.04"/>
    <n v="0"/>
    <n v="4"/>
    <n v="0.5"/>
    <n v="2"/>
    <n v="170"/>
  </r>
  <r>
    <x v="49"/>
    <x v="0"/>
    <n v="30"/>
    <x v="25"/>
    <n v="1.071301775147929E-2"/>
    <n v="1000"/>
    <n v="8"/>
    <n v="0.04"/>
    <n v="1"/>
    <n v="9"/>
    <n v="0.5"/>
    <n v="4.5"/>
    <n v="174.5"/>
  </r>
  <r>
    <x v="50"/>
    <x v="0"/>
    <n v="30"/>
    <x v="24"/>
    <n v="1.2864023668639054E-2"/>
    <n v="1000"/>
    <n v="8"/>
    <n v="0.04"/>
    <n v="1"/>
    <n v="9"/>
    <n v="0.5"/>
    <n v="4.5"/>
    <n v="179"/>
  </r>
  <r>
    <x v="51"/>
    <x v="0"/>
    <n v="30"/>
    <x v="23"/>
    <n v="1.242E-2"/>
    <n v="1000"/>
    <n v="5"/>
    <n v="0.04"/>
    <n v="1"/>
    <n v="6"/>
    <n v="0.5"/>
    <n v="3"/>
    <n v="182"/>
  </r>
  <r>
    <x v="52"/>
    <x v="0"/>
    <n v="30"/>
    <x v="26"/>
    <n v="1.178094674556213E-2"/>
    <n v="1000"/>
    <n v="1"/>
    <n v="0.04"/>
    <n v="1"/>
    <n v="2"/>
    <n v="0.5"/>
    <n v="1"/>
    <n v="183"/>
  </r>
  <r>
    <x v="53"/>
    <x v="0"/>
    <n v="30"/>
    <x v="25"/>
    <n v="1.1146863905325445E-2"/>
    <n v="1000"/>
    <n v="3"/>
    <n v="0.04"/>
    <n v="0"/>
    <n v="3"/>
    <n v="0.5"/>
    <n v="1.5"/>
    <n v="184.5"/>
  </r>
  <r>
    <x v="54"/>
    <x v="0"/>
    <n v="30"/>
    <x v="25"/>
    <n v="1.2017751479289941E-2"/>
    <n v="1000"/>
    <n v="5"/>
    <n v="0.04"/>
    <n v="0"/>
    <n v="5"/>
    <n v="0.5"/>
    <n v="2.5"/>
    <n v="187"/>
  </r>
  <r>
    <x v="55"/>
    <x v="0"/>
    <n v="30"/>
    <x v="27"/>
    <n v="1.2993609467455623E-2"/>
    <n v="1000"/>
    <n v="1"/>
    <n v="0.04"/>
    <n v="0"/>
    <n v="1"/>
    <n v="0.5"/>
    <n v="0.5"/>
    <n v="187.5"/>
  </r>
  <r>
    <x v="56"/>
    <x v="0"/>
    <n v="30"/>
    <x v="26"/>
    <n v="1.4474437869822486E-2"/>
    <n v="1000"/>
    <n v="8"/>
    <n v="0.04"/>
    <n v="1"/>
    <n v="9"/>
    <n v="0.5"/>
    <n v="4.5"/>
    <n v="192"/>
  </r>
  <r>
    <x v="57"/>
    <x v="0"/>
    <n v="30"/>
    <x v="28"/>
    <n v="1.2160236686390533E-2"/>
    <n v="1000"/>
    <n v="1"/>
    <n v="0.04"/>
    <n v="1"/>
    <n v="2"/>
    <n v="0.5"/>
    <n v="1"/>
    <n v="193"/>
  </r>
  <r>
    <x v="58"/>
    <x v="0"/>
    <n v="30"/>
    <x v="25"/>
    <n v="1.3151005917159762E-2"/>
    <n v="1000"/>
    <n v="2"/>
    <n v="0.04"/>
    <n v="0"/>
    <n v="2"/>
    <n v="0.5"/>
    <n v="1"/>
    <n v="194"/>
  </r>
  <r>
    <x v="59"/>
    <x v="0"/>
    <n v="30"/>
    <x v="29"/>
    <n v="1.5346745562130179E-2"/>
    <n v="1000"/>
    <n v="9"/>
    <n v="0.04"/>
    <n v="0"/>
    <n v="9"/>
    <n v="0.5"/>
    <n v="4.5"/>
    <n v="198.5"/>
  </r>
  <r>
    <x v="60"/>
    <x v="0"/>
    <n v="30"/>
    <x v="30"/>
    <n v="1.3947455621301777E-2"/>
    <n v="1000"/>
    <n v="9"/>
    <n v="0.04"/>
    <n v="1"/>
    <n v="10"/>
    <n v="0.5"/>
    <n v="5"/>
    <n v="203.5"/>
  </r>
  <r>
    <x v="61"/>
    <x v="0"/>
    <n v="30"/>
    <x v="31"/>
    <n v="1.4953136094674557E-2"/>
    <n v="1000"/>
    <n v="6"/>
    <n v="0.04"/>
    <n v="1"/>
    <n v="7"/>
    <n v="0.5"/>
    <n v="3.5"/>
    <n v="207"/>
  </r>
  <r>
    <x v="62"/>
    <x v="0"/>
    <n v="30"/>
    <x v="27"/>
    <n v="1.4963786982248522E-2"/>
    <n v="1000"/>
    <n v="7"/>
    <n v="0.04"/>
    <n v="2"/>
    <n v="9"/>
    <n v="0.5"/>
    <n v="4.5"/>
    <n v="211.5"/>
  </r>
  <r>
    <x v="63"/>
    <x v="0"/>
    <n v="30"/>
    <x v="32"/>
    <n v="1.4979408284023671E-2"/>
    <n v="1000"/>
    <n v="5"/>
    <n v="0.04"/>
    <n v="2"/>
    <n v="7"/>
    <n v="0.5"/>
    <n v="3.5"/>
    <n v="215"/>
  </r>
  <r>
    <x v="64"/>
    <x v="0"/>
    <n v="30"/>
    <x v="33"/>
    <n v="1.6400000000000001E-2"/>
    <n v="1000"/>
    <n v="2"/>
    <n v="0.04"/>
    <n v="0"/>
    <n v="2"/>
    <n v="0.5"/>
    <n v="1"/>
    <n v="216"/>
  </r>
  <r>
    <x v="65"/>
    <x v="0"/>
    <n v="30"/>
    <x v="30"/>
    <n v="1.7025562130177516E-2"/>
    <n v="1000"/>
    <n v="6"/>
    <n v="0.04"/>
    <n v="1"/>
    <n v="7"/>
    <n v="0.5"/>
    <n v="3.5"/>
    <n v="219.5"/>
  </r>
  <r>
    <x v="66"/>
    <x v="0"/>
    <n v="30"/>
    <x v="32"/>
    <n v="1.5656094674556212E-2"/>
    <n v="1000"/>
    <n v="2"/>
    <n v="0.04"/>
    <n v="0"/>
    <n v="2"/>
    <n v="0.5"/>
    <n v="1"/>
    <n v="220.5"/>
  </r>
  <r>
    <x v="67"/>
    <x v="0"/>
    <n v="30"/>
    <x v="34"/>
    <n v="1.7691597633136096E-2"/>
    <n v="1000"/>
    <n v="8"/>
    <n v="0.04"/>
    <n v="0"/>
    <n v="8"/>
    <n v="0.5"/>
    <n v="4"/>
    <n v="224.5"/>
  </r>
  <r>
    <x v="68"/>
    <x v="0"/>
    <n v="30"/>
    <x v="35"/>
    <n v="1.6832071005917163E-2"/>
    <n v="1000"/>
    <n v="6"/>
    <n v="0.04"/>
    <n v="2"/>
    <n v="8"/>
    <n v="0.5"/>
    <n v="4"/>
    <n v="228.5"/>
  </r>
  <r>
    <x v="69"/>
    <x v="0"/>
    <n v="30"/>
    <x v="36"/>
    <n v="1.7977514792899406E-2"/>
    <n v="1000"/>
    <n v="10"/>
    <n v="0.04"/>
    <n v="1"/>
    <n v="11"/>
    <n v="0.5"/>
    <n v="5.5"/>
    <n v="234"/>
  </r>
  <r>
    <x v="70"/>
    <x v="0"/>
    <n v="30"/>
    <x v="37"/>
    <n v="1.7627928994082838E-2"/>
    <n v="1000"/>
    <n v="6"/>
    <n v="0.04"/>
    <n v="1"/>
    <n v="7"/>
    <n v="0.5"/>
    <n v="3.5"/>
    <n v="237.5"/>
  </r>
  <r>
    <x v="71"/>
    <x v="0"/>
    <n v="30"/>
    <x v="33"/>
    <n v="1.6783313609467457E-2"/>
    <n v="1000"/>
    <n v="10"/>
    <n v="0.04"/>
    <n v="0"/>
    <n v="10"/>
    <n v="0.5"/>
    <n v="5"/>
    <n v="242.5"/>
  </r>
  <r>
    <x v="72"/>
    <x v="0"/>
    <n v="30"/>
    <x v="31"/>
    <n v="1.8643668639053257E-2"/>
    <n v="1000"/>
    <n v="8"/>
    <n v="0.04"/>
    <n v="1"/>
    <n v="9"/>
    <n v="0.5"/>
    <n v="4.5"/>
    <n v="247"/>
  </r>
  <r>
    <x v="73"/>
    <x v="0"/>
    <n v="30"/>
    <x v="35"/>
    <n v="1.7708994082840237E-2"/>
    <n v="1000"/>
    <n v="9"/>
    <n v="0.04"/>
    <n v="1"/>
    <n v="10"/>
    <n v="0.5"/>
    <n v="5"/>
    <n v="252"/>
  </r>
  <r>
    <x v="74"/>
    <x v="0"/>
    <n v="30"/>
    <x v="34"/>
    <n v="1.8379289940828401E-2"/>
    <n v="1000"/>
    <n v="6"/>
    <n v="0.04"/>
    <n v="1"/>
    <n v="7"/>
    <n v="0.5"/>
    <n v="3.5"/>
    <n v="255.5"/>
  </r>
  <r>
    <x v="75"/>
    <x v="0"/>
    <n v="30"/>
    <x v="37"/>
    <n v="1.9754556213017756E-2"/>
    <n v="1000"/>
    <n v="2"/>
    <n v="0.04"/>
    <n v="0"/>
    <n v="2"/>
    <n v="0.5"/>
    <n v="1"/>
    <n v="256.5"/>
  </r>
  <r>
    <x v="76"/>
    <x v="0"/>
    <n v="30"/>
    <x v="35"/>
    <n v="1.8534792899408285E-2"/>
    <n v="1000"/>
    <n v="9"/>
    <n v="0.04"/>
    <n v="0"/>
    <n v="9"/>
    <n v="0.5"/>
    <n v="4.5"/>
    <n v="261"/>
  </r>
  <r>
    <x v="77"/>
    <x v="0"/>
    <n v="30"/>
    <x v="34"/>
    <n v="1.8619999999999998E-2"/>
    <n v="1000"/>
    <n v="9"/>
    <n v="0.04"/>
    <n v="2"/>
    <n v="11"/>
    <n v="0.5"/>
    <n v="5.5"/>
    <n v="266.5"/>
  </r>
  <r>
    <x v="78"/>
    <x v="0"/>
    <n v="30"/>
    <x v="38"/>
    <n v="2.0110177514792899E-2"/>
    <n v="1000"/>
    <n v="7"/>
    <n v="0.04"/>
    <n v="2"/>
    <n v="9"/>
    <n v="0.5"/>
    <n v="4.5"/>
    <n v="271"/>
  </r>
  <r>
    <x v="79"/>
    <x v="0"/>
    <n v="30"/>
    <x v="39"/>
    <n v="2.0605325443786984E-2"/>
    <n v="1000"/>
    <n v="10"/>
    <n v="0.04"/>
    <n v="2"/>
    <n v="12"/>
    <n v="0.5"/>
    <n v="6"/>
    <n v="277"/>
  </r>
  <r>
    <x v="80"/>
    <x v="0"/>
    <n v="30"/>
    <x v="37"/>
    <n v="2.0105443786982251E-2"/>
    <n v="1000"/>
    <n v="8"/>
    <n v="0.04"/>
    <n v="2"/>
    <n v="10"/>
    <n v="0.5"/>
    <n v="5"/>
    <n v="282"/>
  </r>
  <r>
    <x v="81"/>
    <x v="0"/>
    <n v="30"/>
    <x v="40"/>
    <n v="2.27105325443787E-2"/>
    <n v="1000"/>
    <n v="1"/>
    <n v="0.04"/>
    <n v="0"/>
    <n v="1"/>
    <n v="0.5"/>
    <n v="0.5"/>
    <n v="282.5"/>
  </r>
  <r>
    <x v="82"/>
    <x v="0"/>
    <n v="30"/>
    <x v="38"/>
    <n v="2.1520591715976332E-2"/>
    <n v="1000"/>
    <n v="9"/>
    <n v="0.04"/>
    <n v="2"/>
    <n v="11"/>
    <n v="0.5"/>
    <n v="5.5"/>
    <n v="288"/>
  </r>
  <r>
    <x v="83"/>
    <x v="0"/>
    <n v="30"/>
    <x v="41"/>
    <n v="2.3235621301775151E-2"/>
    <n v="1000"/>
    <n v="7"/>
    <n v="0.04"/>
    <n v="0"/>
    <n v="7"/>
    <n v="0.5"/>
    <n v="3.5"/>
    <n v="291.5"/>
  </r>
  <r>
    <x v="84"/>
    <x v="0"/>
    <n v="30"/>
    <x v="41"/>
    <n v="2.2055621301775151E-2"/>
    <n v="1000"/>
    <n v="5"/>
    <n v="0.04"/>
    <n v="0"/>
    <n v="5"/>
    <n v="0.5"/>
    <n v="2.5"/>
    <n v="294"/>
  </r>
  <r>
    <x v="85"/>
    <x v="0"/>
    <n v="30"/>
    <x v="42"/>
    <n v="2.2380591715976332E-2"/>
    <n v="1000"/>
    <n v="10"/>
    <n v="0.04"/>
    <n v="0"/>
    <n v="10"/>
    <n v="0.5"/>
    <n v="5"/>
    <n v="299"/>
  </r>
  <r>
    <x v="86"/>
    <x v="0"/>
    <n v="30"/>
    <x v="39"/>
    <n v="2.2510532544378698E-2"/>
    <n v="1000"/>
    <n v="4"/>
    <n v="0.04"/>
    <n v="2"/>
    <n v="6"/>
    <n v="0.5"/>
    <n v="3"/>
    <n v="302"/>
  </r>
  <r>
    <x v="87"/>
    <x v="0"/>
    <n v="30"/>
    <x v="41"/>
    <n v="2.3445443786982257E-2"/>
    <n v="1000"/>
    <n v="5"/>
    <n v="0.04"/>
    <n v="2"/>
    <n v="7"/>
    <n v="0.5"/>
    <n v="3.5"/>
    <n v="305.5"/>
  </r>
  <r>
    <x v="88"/>
    <x v="0"/>
    <n v="30"/>
    <x v="40"/>
    <n v="2.5385325443786983E-2"/>
    <n v="1000"/>
    <n v="3"/>
    <n v="0.04"/>
    <n v="2"/>
    <n v="5"/>
    <n v="0.5"/>
    <n v="2.5"/>
    <n v="308"/>
  </r>
  <r>
    <x v="89"/>
    <x v="0"/>
    <n v="30"/>
    <x v="39"/>
    <n v="2.5330177514792898E-2"/>
    <n v="1000"/>
    <n v="2"/>
    <n v="0.04"/>
    <n v="1"/>
    <n v="3"/>
    <n v="0.5"/>
    <n v="1.5"/>
    <n v="309.5"/>
  </r>
  <r>
    <x v="90"/>
    <x v="0"/>
    <n v="30"/>
    <x v="43"/>
    <n v="2.4279999999999999E-2"/>
    <n v="1000"/>
    <n v="6"/>
    <n v="0.04"/>
    <n v="2"/>
    <n v="8"/>
    <n v="0.5"/>
    <n v="4"/>
    <n v="313.5"/>
  </r>
  <r>
    <x v="91"/>
    <x v="0"/>
    <n v="30"/>
    <x v="40"/>
    <n v="2.6734792899408288E-2"/>
    <n v="1000"/>
    <n v="4"/>
    <n v="0.04"/>
    <n v="1"/>
    <n v="5"/>
    <n v="0.5"/>
    <n v="2.5"/>
    <n v="316"/>
  </r>
  <r>
    <x v="92"/>
    <x v="0"/>
    <n v="30"/>
    <x v="41"/>
    <n v="2.4994556213017754E-2"/>
    <n v="1000"/>
    <n v="10"/>
    <n v="0.04"/>
    <n v="0"/>
    <n v="10"/>
    <n v="0.5"/>
    <n v="5"/>
    <n v="321"/>
  </r>
  <r>
    <x v="93"/>
    <x v="0"/>
    <n v="30"/>
    <x v="44"/>
    <n v="2.8359289940828401E-2"/>
    <n v="1000"/>
    <n v="6"/>
    <n v="0.04"/>
    <n v="1"/>
    <n v="7"/>
    <n v="0.5"/>
    <n v="3.5"/>
    <n v="324.5"/>
  </r>
  <r>
    <x v="94"/>
    <x v="0"/>
    <n v="30"/>
    <x v="45"/>
    <n v="2.8628994082840236E-2"/>
    <n v="1000"/>
    <n v="2"/>
    <n v="0.04"/>
    <n v="20"/>
    <n v="22"/>
    <n v="0.5"/>
    <n v="11"/>
    <n v="335.5"/>
  </r>
  <r>
    <x v="95"/>
    <x v="0"/>
    <n v="30"/>
    <x v="46"/>
    <n v="2.8503668639053261E-2"/>
    <n v="1000"/>
    <n v="7"/>
    <n v="0.04"/>
    <n v="20"/>
    <n v="27"/>
    <n v="0.5"/>
    <n v="13.5"/>
    <n v="349"/>
  </r>
  <r>
    <x v="96"/>
    <x v="0"/>
    <n v="30"/>
    <x v="46"/>
    <n v="2.9183313609467458E-2"/>
    <n v="1000"/>
    <n v="9"/>
    <n v="0.04"/>
    <n v="1"/>
    <n v="10"/>
    <n v="0.5"/>
    <n v="5"/>
    <n v="354"/>
  </r>
  <r>
    <x v="97"/>
    <x v="0"/>
    <n v="30"/>
    <x v="43"/>
    <n v="2.966792899408284E-2"/>
    <n v="1000"/>
    <n v="8"/>
    <n v="0.04"/>
    <n v="1"/>
    <n v="9"/>
    <n v="0.5"/>
    <n v="4.5"/>
    <n v="358.5"/>
  </r>
  <r>
    <x v="98"/>
    <x v="0"/>
    <n v="30"/>
    <x v="47"/>
    <n v="2.9357514792899411E-2"/>
    <n v="1000"/>
    <n v="1"/>
    <n v="0.04"/>
    <n v="21"/>
    <n v="22"/>
    <n v="0.5"/>
    <n v="11"/>
    <n v="369.5"/>
  </r>
  <r>
    <x v="99"/>
    <x v="0"/>
    <n v="30"/>
    <x v="43"/>
    <n v="2.9252071005917164E-2"/>
    <n v="1000"/>
    <n v="10"/>
    <n v="0.04"/>
    <n v="20"/>
    <n v="30"/>
    <n v="0.5"/>
    <n v="15"/>
    <n v="384.5"/>
  </r>
  <r>
    <x v="100"/>
    <x v="0"/>
    <n v="30"/>
    <x v="47"/>
    <n v="3.1851597633136094E-2"/>
    <n v="1000"/>
    <n v="4"/>
    <n v="0.04"/>
    <n v="21"/>
    <n v="25"/>
    <n v="0.5"/>
    <n v="12.5"/>
    <n v="397"/>
  </r>
  <r>
    <x v="101"/>
    <x v="0"/>
    <n v="30"/>
    <x v="45"/>
    <n v="2.9356094674556216E-2"/>
    <n v="1000"/>
    <n v="6"/>
    <n v="0.04"/>
    <n v="21"/>
    <n v="27"/>
    <n v="0.5"/>
    <n v="13.5"/>
    <n v="410.5"/>
  </r>
  <r>
    <x v="102"/>
    <x v="0"/>
    <n v="30"/>
    <x v="48"/>
    <n v="3.0165562130177515E-2"/>
    <n v="1000"/>
    <n v="2"/>
    <n v="0.04"/>
    <n v="24"/>
    <n v="26"/>
    <n v="0.5"/>
    <n v="13"/>
    <n v="423.5"/>
  </r>
  <r>
    <x v="103"/>
    <x v="0"/>
    <n v="30"/>
    <x v="49"/>
    <n v="3.2780000000000004E-2"/>
    <n v="1000"/>
    <n v="3"/>
    <n v="0.04"/>
    <n v="25"/>
    <n v="28"/>
    <n v="0.5"/>
    <n v="14"/>
    <n v="437.5"/>
  </r>
  <r>
    <x v="104"/>
    <x v="0"/>
    <n v="30"/>
    <x v="48"/>
    <n v="3.3299408284023668E-2"/>
    <n v="1000"/>
    <n v="5"/>
    <n v="0.04"/>
    <n v="21"/>
    <n v="26"/>
    <n v="0.5"/>
    <n v="13"/>
    <n v="450.5"/>
  </r>
  <r>
    <x v="105"/>
    <x v="0"/>
    <n v="30"/>
    <x v="47"/>
    <n v="3.3023786982248525E-2"/>
    <n v="1000"/>
    <n v="10"/>
    <n v="0.04"/>
    <n v="28"/>
    <n v="38"/>
    <n v="0.5"/>
    <n v="19"/>
    <n v="469.5"/>
  </r>
  <r>
    <x v="106"/>
    <x v="0"/>
    <n v="30"/>
    <x v="47"/>
    <n v="3.3753136094674556E-2"/>
    <n v="1000"/>
    <n v="9"/>
    <n v="0.04"/>
    <n v="25"/>
    <n v="34"/>
    <n v="0.5"/>
    <n v="17"/>
    <n v="486.5"/>
  </r>
  <r>
    <x v="107"/>
    <x v="0"/>
    <n v="30"/>
    <x v="48"/>
    <n v="3.4487455621301781E-2"/>
    <n v="1000"/>
    <n v="10"/>
    <n v="0.04"/>
    <n v="31"/>
    <n v="41"/>
    <n v="0.5"/>
    <n v="20.5"/>
    <n v="507"/>
  </r>
  <r>
    <x v="108"/>
    <x v="0"/>
    <n v="30"/>
    <x v="50"/>
    <n v="3.4726745562130179E-2"/>
    <n v="1000"/>
    <n v="8"/>
    <n v="0.04"/>
    <n v="32"/>
    <n v="40"/>
    <n v="0.5"/>
    <n v="20"/>
    <n v="527"/>
  </r>
  <r>
    <x v="109"/>
    <x v="0"/>
    <n v="30"/>
    <x v="49"/>
    <n v="3.397100591715977E-2"/>
    <n v="1000"/>
    <n v="6"/>
    <n v="0.04"/>
    <n v="34"/>
    <n v="40"/>
    <n v="0.5"/>
    <n v="20"/>
    <n v="547"/>
  </r>
  <r>
    <x v="110"/>
    <x v="0"/>
    <n v="30"/>
    <x v="51"/>
    <n v="3.5120236686390527E-2"/>
    <n v="1000"/>
    <n v="5"/>
    <n v="0.04"/>
    <n v="36"/>
    <n v="41"/>
    <n v="0.5"/>
    <n v="20.5"/>
    <n v="567.5"/>
  </r>
  <r>
    <x v="111"/>
    <x v="0"/>
    <n v="30"/>
    <x v="51"/>
    <n v="3.4974437869822489E-2"/>
    <n v="1000"/>
    <n v="5"/>
    <n v="0.04"/>
    <n v="32"/>
    <n v="37"/>
    <n v="0.5"/>
    <n v="18.5"/>
    <n v="586"/>
  </r>
  <r>
    <x v="112"/>
    <x v="0"/>
    <n v="30"/>
    <x v="52"/>
    <n v="3.5833609467455625E-2"/>
    <n v="1000"/>
    <n v="3"/>
    <n v="0.04"/>
    <n v="40"/>
    <n v="43"/>
    <n v="0.5"/>
    <n v="21.5"/>
    <n v="607.5"/>
  </r>
  <r>
    <x v="113"/>
    <x v="0"/>
    <n v="30"/>
    <x v="52"/>
    <n v="3.6197751479289941E-2"/>
    <n v="1000"/>
    <n v="6"/>
    <n v="0.04"/>
    <n v="35"/>
    <n v="41"/>
    <n v="0.5"/>
    <n v="20.5"/>
    <n v="628"/>
  </r>
  <r>
    <x v="114"/>
    <x v="0"/>
    <n v="30"/>
    <x v="53"/>
    <n v="3.7666863905325441E-2"/>
    <n v="1000"/>
    <n v="3"/>
    <n v="0.04"/>
    <n v="44"/>
    <n v="47"/>
    <n v="0.5"/>
    <n v="23.5"/>
    <n v="651.5"/>
  </r>
  <r>
    <x v="115"/>
    <x v="0"/>
    <n v="30"/>
    <x v="54"/>
    <n v="3.9640946745562129E-2"/>
    <n v="1000"/>
    <n v="8"/>
    <n v="0.04"/>
    <n v="33"/>
    <n v="41"/>
    <n v="0.5"/>
    <n v="20.5"/>
    <n v="672"/>
  </r>
  <r>
    <x v="116"/>
    <x v="0"/>
    <n v="30"/>
    <x v="55"/>
    <n v="4.0320000000000002E-2"/>
    <n v="1000"/>
    <n v="4"/>
    <n v="0.04"/>
    <n v="49"/>
    <n v="53"/>
    <n v="0.5"/>
    <n v="26.5"/>
    <n v="698.5"/>
  </r>
  <r>
    <x v="117"/>
    <x v="0"/>
    <n v="30"/>
    <x v="56"/>
    <n v="3.9704023668639052E-2"/>
    <n v="1000"/>
    <n v="8"/>
    <n v="0.04"/>
    <n v="52"/>
    <n v="60"/>
    <n v="0.5"/>
    <n v="30"/>
    <n v="728.5"/>
  </r>
  <r>
    <x v="118"/>
    <x v="0"/>
    <n v="30"/>
    <x v="51"/>
    <n v="4.0093017751479283E-2"/>
    <n v="1000"/>
    <n v="8"/>
    <n v="0.04"/>
    <n v="46"/>
    <n v="54"/>
    <n v="0.5"/>
    <n v="27"/>
    <n v="755.5"/>
  </r>
  <r>
    <x v="119"/>
    <x v="0"/>
    <n v="30"/>
    <x v="51"/>
    <n v="3.9286982248520716E-2"/>
    <n v="1000"/>
    <n v="5"/>
    <n v="0.04"/>
    <n v="40"/>
    <n v="45"/>
    <n v="0.5"/>
    <n v="22.5"/>
    <n v="778"/>
  </r>
  <r>
    <x v="120"/>
    <x v="0"/>
    <n v="30"/>
    <x v="56"/>
    <n v="4.1385917159763315E-2"/>
    <n v="1000"/>
    <n v="0"/>
    <n v="0.04"/>
    <n v="60"/>
    <n v="60"/>
    <n v="0.5"/>
    <n v="30"/>
    <n v="808"/>
  </r>
  <r>
    <x v="121"/>
    <x v="0"/>
    <n v="30"/>
    <x v="56"/>
    <n v="4.2989822485207101E-2"/>
    <n v="1000"/>
    <n v="1"/>
    <n v="0.04"/>
    <n v="63"/>
    <n v="64"/>
    <n v="0.5"/>
    <n v="32"/>
    <n v="840"/>
  </r>
  <r>
    <x v="122"/>
    <x v="0"/>
    <n v="30"/>
    <x v="56"/>
    <n v="4.1598698224852071E-2"/>
    <n v="1000"/>
    <n v="6"/>
    <n v="0.04"/>
    <n v="56"/>
    <n v="62"/>
    <n v="0.5"/>
    <n v="31"/>
    <n v="871"/>
  </r>
  <r>
    <x v="123"/>
    <x v="0"/>
    <n v="30"/>
    <x v="57"/>
    <n v="4.3012544378698232E-2"/>
    <n v="1000"/>
    <n v="5"/>
    <n v="0.04"/>
    <n v="70"/>
    <n v="75"/>
    <n v="0.5"/>
    <n v="37.5"/>
    <n v="908.5"/>
  </r>
  <r>
    <x v="124"/>
    <x v="0"/>
    <n v="30"/>
    <x v="58"/>
    <n v="4.4731360946745562E-2"/>
    <n v="1000"/>
    <n v="6"/>
    <n v="0.04"/>
    <n v="62"/>
    <n v="68"/>
    <n v="0.5"/>
    <n v="34"/>
    <n v="942.5"/>
  </r>
  <r>
    <x v="125"/>
    <x v="0"/>
    <n v="30"/>
    <x v="56"/>
    <n v="4.5755147928994086E-2"/>
    <n v="1000"/>
    <n v="4"/>
    <n v="0.04"/>
    <n v="76"/>
    <n v="80"/>
    <n v="0.5"/>
    <n v="40"/>
    <n v="982.5"/>
  </r>
  <r>
    <x v="126"/>
    <x v="0"/>
    <n v="30"/>
    <x v="59"/>
    <n v="4.4683905325443786E-2"/>
    <n v="1000"/>
    <n v="8"/>
    <n v="0.04"/>
    <n v="58"/>
    <n v="66"/>
    <n v="0.5"/>
    <n v="33"/>
    <n v="1015.5"/>
  </r>
  <r>
    <x v="127"/>
    <x v="0"/>
    <n v="30"/>
    <x v="60"/>
    <n v="4.5517633136094679E-2"/>
    <n v="1000"/>
    <n v="8"/>
    <n v="0.04"/>
    <n v="61"/>
    <n v="69"/>
    <n v="0.5"/>
    <n v="34.5"/>
    <n v="1050"/>
  </r>
  <r>
    <x v="128"/>
    <x v="0"/>
    <n v="30"/>
    <x v="60"/>
    <n v="4.6056331360946744E-2"/>
    <n v="1000"/>
    <n v="6"/>
    <n v="0.04"/>
    <n v="64"/>
    <n v="70"/>
    <n v="0.5"/>
    <n v="35"/>
    <n v="1085"/>
  </r>
  <r>
    <x v="129"/>
    <x v="0"/>
    <n v="30"/>
    <x v="59"/>
    <n v="4.65E-2"/>
    <n v="1000"/>
    <n v="6"/>
    <n v="0.04"/>
    <n v="92"/>
    <n v="98"/>
    <n v="0.5"/>
    <n v="49"/>
    <n v="1134"/>
  </r>
  <r>
    <x v="130"/>
    <x v="1"/>
    <n v="30"/>
    <x v="3"/>
    <n v="4.3042000000000002E-3"/>
    <n v="1000"/>
    <n v="8"/>
    <n v="0.04"/>
    <n v="2"/>
    <n v="10"/>
    <n v="0.5"/>
    <n v="5"/>
    <n v="5"/>
  </r>
  <r>
    <x v="131"/>
    <x v="1"/>
    <n v="30"/>
    <x v="61"/>
    <n v="4.4168000000000002E-3"/>
    <n v="1000"/>
    <n v="1"/>
    <n v="0.04"/>
    <n v="2"/>
    <n v="3"/>
    <n v="0.5"/>
    <n v="1.5"/>
    <n v="6.5"/>
  </r>
  <r>
    <x v="132"/>
    <x v="1"/>
    <n v="30"/>
    <x v="3"/>
    <n v="6.1378000000000005E-3"/>
    <n v="1000"/>
    <n v="10"/>
    <n v="0.04"/>
    <n v="0"/>
    <n v="10"/>
    <n v="0.5"/>
    <n v="5"/>
    <n v="11.5"/>
  </r>
  <r>
    <x v="133"/>
    <x v="1"/>
    <n v="30"/>
    <x v="6"/>
    <n v="3.6671999999999998E-3"/>
    <n v="1000"/>
    <n v="2"/>
    <n v="0.04"/>
    <n v="0"/>
    <n v="2"/>
    <n v="0.5"/>
    <n v="1"/>
    <n v="12.5"/>
  </r>
  <r>
    <x v="134"/>
    <x v="1"/>
    <n v="30"/>
    <x v="3"/>
    <n v="5.705E-3"/>
    <n v="1000"/>
    <n v="4"/>
    <n v="0.04"/>
    <n v="0"/>
    <n v="4"/>
    <n v="0.5"/>
    <n v="2"/>
    <n v="14.5"/>
  </r>
  <r>
    <x v="135"/>
    <x v="1"/>
    <n v="30"/>
    <x v="6"/>
    <n v="4.3511999999999995E-3"/>
    <n v="1000"/>
    <n v="9"/>
    <n v="0.04"/>
    <n v="2"/>
    <n v="11"/>
    <n v="0.5"/>
    <n v="5.5"/>
    <n v="20"/>
  </r>
  <r>
    <x v="136"/>
    <x v="1"/>
    <n v="30"/>
    <x v="6"/>
    <n v="6.4057999999999997E-3"/>
    <n v="1000"/>
    <n v="5"/>
    <n v="0.04"/>
    <n v="1"/>
    <n v="6"/>
    <n v="0.5"/>
    <n v="3"/>
    <n v="23"/>
  </r>
  <r>
    <x v="137"/>
    <x v="1"/>
    <n v="30"/>
    <x v="7"/>
    <n v="3.8688000000000004E-3"/>
    <n v="1000"/>
    <n v="4"/>
    <n v="0.04"/>
    <n v="1"/>
    <n v="5"/>
    <n v="0.5"/>
    <n v="2.5"/>
    <n v="25.5"/>
  </r>
  <r>
    <x v="138"/>
    <x v="1"/>
    <n v="30"/>
    <x v="7"/>
    <n v="5.8402000000000003E-3"/>
    <n v="1000"/>
    <n v="10"/>
    <n v="0.04"/>
    <n v="1"/>
    <n v="11"/>
    <n v="0.5"/>
    <n v="5.5"/>
    <n v="31"/>
  </r>
  <r>
    <x v="139"/>
    <x v="1"/>
    <n v="30"/>
    <x v="6"/>
    <n v="3.9199999999999999E-3"/>
    <n v="1000"/>
    <n v="9"/>
    <n v="0.04"/>
    <n v="2"/>
    <n v="11"/>
    <n v="0.5"/>
    <n v="5.5"/>
    <n v="36.5"/>
  </r>
  <r>
    <x v="140"/>
    <x v="1"/>
    <n v="30"/>
    <x v="8"/>
    <n v="5.2082000000000005E-3"/>
    <n v="1000"/>
    <n v="8"/>
    <n v="0.04"/>
    <n v="1"/>
    <n v="9"/>
    <n v="0.5"/>
    <n v="4.5"/>
    <n v="41"/>
  </r>
  <r>
    <x v="141"/>
    <x v="1"/>
    <n v="30"/>
    <x v="6"/>
    <n v="4.6048E-3"/>
    <n v="1000"/>
    <n v="10"/>
    <n v="0.04"/>
    <n v="2"/>
    <n v="12"/>
    <n v="0.5"/>
    <n v="6"/>
    <n v="47"/>
  </r>
  <r>
    <x v="142"/>
    <x v="1"/>
    <n v="30"/>
    <x v="3"/>
    <n v="7.2098000000000006E-3"/>
    <n v="1000"/>
    <n v="1"/>
    <n v="0.04"/>
    <n v="1"/>
    <n v="2"/>
    <n v="0.5"/>
    <n v="1"/>
    <n v="48"/>
  </r>
  <r>
    <x v="143"/>
    <x v="1"/>
    <n v="30"/>
    <x v="12"/>
    <n v="6.7232000000000004E-3"/>
    <n v="1000"/>
    <n v="5"/>
    <n v="0.04"/>
    <n v="2"/>
    <n v="7"/>
    <n v="0.5"/>
    <n v="3.5"/>
    <n v="51.5"/>
  </r>
  <r>
    <x v="144"/>
    <x v="1"/>
    <n v="30"/>
    <x v="4"/>
    <n v="7.2449999999999997E-3"/>
    <n v="1000"/>
    <n v="3"/>
    <n v="0.04"/>
    <n v="1"/>
    <n v="4"/>
    <n v="0.5"/>
    <n v="2"/>
    <n v="53.5"/>
  </r>
  <r>
    <x v="145"/>
    <x v="1"/>
    <n v="30"/>
    <x v="9"/>
    <n v="5.0752000000000002E-3"/>
    <n v="1000"/>
    <n v="4"/>
    <n v="0.04"/>
    <n v="2"/>
    <n v="6"/>
    <n v="0.5"/>
    <n v="3"/>
    <n v="56.5"/>
  </r>
  <r>
    <x v="146"/>
    <x v="1"/>
    <n v="30"/>
    <x v="12"/>
    <n v="5.6138000000000004E-3"/>
    <n v="1000"/>
    <n v="5"/>
    <n v="0.04"/>
    <n v="2"/>
    <n v="7"/>
    <n v="0.5"/>
    <n v="3.5"/>
    <n v="60"/>
  </r>
  <r>
    <x v="147"/>
    <x v="1"/>
    <n v="30"/>
    <x v="7"/>
    <n v="7.6607999999999997E-3"/>
    <n v="1000"/>
    <n v="2"/>
    <n v="0.04"/>
    <n v="2"/>
    <n v="4"/>
    <n v="0.5"/>
    <n v="2"/>
    <n v="62"/>
  </r>
  <r>
    <x v="148"/>
    <x v="1"/>
    <n v="30"/>
    <x v="10"/>
    <n v="6.2161999999999999E-3"/>
    <n v="1000"/>
    <n v="4"/>
    <n v="0.04"/>
    <n v="0"/>
    <n v="4"/>
    <n v="0.5"/>
    <n v="2"/>
    <n v="64"/>
  </r>
  <r>
    <x v="149"/>
    <x v="1"/>
    <n v="30"/>
    <x v="15"/>
    <n v="5.3800000000000002E-3"/>
    <n v="1000"/>
    <n v="3"/>
    <n v="0.04"/>
    <n v="1"/>
    <n v="4"/>
    <n v="0.5"/>
    <n v="2"/>
    <n v="66"/>
  </r>
  <r>
    <x v="150"/>
    <x v="1"/>
    <n v="30"/>
    <x v="13"/>
    <n v="7.8522000000000002E-3"/>
    <n v="1000"/>
    <n v="4"/>
    <n v="0.04"/>
    <n v="1"/>
    <n v="5"/>
    <n v="0.5"/>
    <n v="2.5"/>
    <n v="68.5"/>
  </r>
  <r>
    <x v="151"/>
    <x v="1"/>
    <n v="30"/>
    <x v="8"/>
    <n v="6.9328000000000002E-3"/>
    <n v="1000"/>
    <n v="10"/>
    <n v="0.04"/>
    <n v="2"/>
    <n v="12"/>
    <n v="0.5"/>
    <n v="6"/>
    <n v="74.5"/>
  </r>
  <r>
    <x v="152"/>
    <x v="1"/>
    <n v="30"/>
    <x v="8"/>
    <n v="7.0218000000000008E-3"/>
    <n v="1000"/>
    <n v="3"/>
    <n v="0.04"/>
    <n v="2"/>
    <n v="5"/>
    <n v="0.5"/>
    <n v="2.5"/>
    <n v="77"/>
  </r>
  <r>
    <x v="153"/>
    <x v="1"/>
    <n v="30"/>
    <x v="14"/>
    <n v="7.4192000000000008E-3"/>
    <n v="1000"/>
    <n v="6"/>
    <n v="0.04"/>
    <n v="1"/>
    <n v="7"/>
    <n v="0.5"/>
    <n v="3.5"/>
    <n v="80.5"/>
  </r>
  <r>
    <x v="154"/>
    <x v="1"/>
    <n v="30"/>
    <x v="11"/>
    <n v="7.6249999999999998E-3"/>
    <n v="1000"/>
    <n v="9"/>
    <n v="0.04"/>
    <n v="0"/>
    <n v="9"/>
    <n v="0.5"/>
    <n v="4.5"/>
    <n v="85"/>
  </r>
  <r>
    <x v="155"/>
    <x v="1"/>
    <n v="30"/>
    <x v="11"/>
    <n v="7.0392000000000007E-3"/>
    <n v="1000"/>
    <n v="9"/>
    <n v="0.04"/>
    <n v="2"/>
    <n v="11"/>
    <n v="0.5"/>
    <n v="5.5"/>
    <n v="90.5"/>
  </r>
  <r>
    <x v="156"/>
    <x v="1"/>
    <n v="30"/>
    <x v="11"/>
    <n v="7.2618000000000005E-3"/>
    <n v="1000"/>
    <n v="2"/>
    <n v="0.04"/>
    <n v="2"/>
    <n v="4"/>
    <n v="0.5"/>
    <n v="2"/>
    <n v="92.5"/>
  </r>
  <r>
    <x v="157"/>
    <x v="1"/>
    <n v="30"/>
    <x v="18"/>
    <n v="9.4928000000000009E-3"/>
    <n v="1000"/>
    <n v="3"/>
    <n v="0.04"/>
    <n v="1"/>
    <n v="4"/>
    <n v="0.5"/>
    <n v="2"/>
    <n v="94.5"/>
  </r>
  <r>
    <x v="158"/>
    <x v="1"/>
    <n v="30"/>
    <x v="11"/>
    <n v="7.832200000000001E-3"/>
    <n v="1000"/>
    <n v="8"/>
    <n v="0.04"/>
    <n v="1"/>
    <n v="9"/>
    <n v="0.5"/>
    <n v="4.5"/>
    <n v="99"/>
  </r>
  <r>
    <x v="159"/>
    <x v="1"/>
    <n v="30"/>
    <x v="17"/>
    <n v="9.4799999999999988E-3"/>
    <n v="1000"/>
    <n v="2"/>
    <n v="0.04"/>
    <n v="2"/>
    <n v="4"/>
    <n v="0.5"/>
    <n v="2"/>
    <n v="101"/>
  </r>
  <r>
    <x v="160"/>
    <x v="1"/>
    <n v="30"/>
    <x v="14"/>
    <n v="8.6362000000000019E-3"/>
    <n v="1000"/>
    <n v="9"/>
    <n v="0.04"/>
    <n v="0"/>
    <n v="9"/>
    <n v="0.5"/>
    <n v="4.5"/>
    <n v="105.5"/>
  </r>
  <r>
    <x v="161"/>
    <x v="1"/>
    <n v="30"/>
    <x v="18"/>
    <n v="8.5008000000000011E-3"/>
    <n v="1000"/>
    <n v="10"/>
    <n v="0.04"/>
    <n v="1"/>
    <n v="11"/>
    <n v="0.5"/>
    <n v="5.5"/>
    <n v="111"/>
  </r>
  <r>
    <x v="162"/>
    <x v="1"/>
    <n v="30"/>
    <x v="11"/>
    <n v="1.01738E-2"/>
    <n v="1000"/>
    <n v="10"/>
    <n v="0.04"/>
    <n v="2"/>
    <n v="12"/>
    <n v="0.5"/>
    <n v="6"/>
    <n v="117"/>
  </r>
  <r>
    <x v="163"/>
    <x v="1"/>
    <n v="30"/>
    <x v="14"/>
    <n v="1.0055200000000002E-2"/>
    <n v="1000"/>
    <n v="7"/>
    <n v="0.04"/>
    <n v="0"/>
    <n v="7"/>
    <n v="0.5"/>
    <n v="3.5"/>
    <n v="120.5"/>
  </r>
  <r>
    <x v="164"/>
    <x v="1"/>
    <n v="30"/>
    <x v="20"/>
    <n v="9.5449999999999997E-3"/>
    <n v="1000"/>
    <n v="3"/>
    <n v="0.04"/>
    <n v="0"/>
    <n v="3"/>
    <n v="0.5"/>
    <n v="1.5"/>
    <n v="122"/>
  </r>
  <r>
    <x v="165"/>
    <x v="1"/>
    <n v="30"/>
    <x v="22"/>
    <n v="1.1443200000000001E-2"/>
    <n v="1000"/>
    <n v="7"/>
    <n v="0.04"/>
    <n v="0"/>
    <n v="7"/>
    <n v="0.5"/>
    <n v="3.5"/>
    <n v="125.5"/>
  </r>
  <r>
    <x v="166"/>
    <x v="1"/>
    <n v="30"/>
    <x v="22"/>
    <n v="1.1749800000000001E-2"/>
    <n v="1000"/>
    <n v="4"/>
    <n v="0.04"/>
    <n v="1"/>
    <n v="5"/>
    <n v="0.5"/>
    <n v="2.5"/>
    <n v="128"/>
  </r>
  <r>
    <x v="167"/>
    <x v="1"/>
    <n v="30"/>
    <x v="16"/>
    <n v="1.0564799999999999E-2"/>
    <n v="1000"/>
    <n v="1"/>
    <n v="0.04"/>
    <n v="0"/>
    <n v="1"/>
    <n v="0.5"/>
    <n v="0.5"/>
    <n v="128.5"/>
  </r>
  <r>
    <x v="168"/>
    <x v="1"/>
    <n v="30"/>
    <x v="20"/>
    <n v="1.26882E-2"/>
    <n v="1000"/>
    <n v="6"/>
    <n v="0.04"/>
    <n v="2"/>
    <n v="8"/>
    <n v="0.5"/>
    <n v="4"/>
    <n v="132.5"/>
  </r>
  <r>
    <x v="169"/>
    <x v="1"/>
    <n v="30"/>
    <x v="21"/>
    <n v="1.0820000000000001E-2"/>
    <n v="1000"/>
    <n v="3"/>
    <n v="0.04"/>
    <n v="0"/>
    <n v="3"/>
    <n v="0.5"/>
    <n v="1.5"/>
    <n v="134"/>
  </r>
  <r>
    <x v="170"/>
    <x v="1"/>
    <n v="30"/>
    <x v="20"/>
    <n v="1.15602E-2"/>
    <n v="1000"/>
    <n v="7"/>
    <n v="0.04"/>
    <n v="0"/>
    <n v="7"/>
    <n v="0.5"/>
    <n v="3.5"/>
    <n v="137.5"/>
  </r>
  <r>
    <x v="171"/>
    <x v="1"/>
    <n v="30"/>
    <x v="20"/>
    <n v="1.1308799999999999E-2"/>
    <n v="1000"/>
    <n v="4"/>
    <n v="0.04"/>
    <n v="1"/>
    <n v="5"/>
    <n v="0.5"/>
    <n v="2.5"/>
    <n v="140"/>
  </r>
  <r>
    <x v="172"/>
    <x v="1"/>
    <n v="30"/>
    <x v="21"/>
    <n v="1.22658E-2"/>
    <n v="1000"/>
    <n v="3"/>
    <n v="0.04"/>
    <n v="1"/>
    <n v="4"/>
    <n v="0.5"/>
    <n v="2"/>
    <n v="142"/>
  </r>
  <r>
    <x v="173"/>
    <x v="1"/>
    <n v="30"/>
    <x v="62"/>
    <n v="1.4631199999999999E-2"/>
    <n v="1000"/>
    <n v="2"/>
    <n v="0.04"/>
    <n v="1"/>
    <n v="3"/>
    <n v="0.5"/>
    <n v="1.5"/>
    <n v="143.5"/>
  </r>
  <r>
    <x v="174"/>
    <x v="1"/>
    <n v="30"/>
    <x v="62"/>
    <n v="1.3904999999999999E-2"/>
    <n v="1000"/>
    <n v="5"/>
    <n v="0.04"/>
    <n v="2"/>
    <n v="7"/>
    <n v="0.5"/>
    <n v="3.5"/>
    <n v="147"/>
  </r>
  <r>
    <x v="175"/>
    <x v="1"/>
    <n v="30"/>
    <x v="26"/>
    <n v="1.4587200000000002E-2"/>
    <n v="1000"/>
    <n v="4"/>
    <n v="0.04"/>
    <n v="1"/>
    <n v="5"/>
    <n v="0.5"/>
    <n v="2.5"/>
    <n v="149.5"/>
  </r>
  <r>
    <x v="176"/>
    <x v="1"/>
    <n v="30"/>
    <x v="26"/>
    <n v="1.2977800000000001E-2"/>
    <n v="1000"/>
    <n v="12"/>
    <n v="0.04"/>
    <n v="1"/>
    <n v="13"/>
    <n v="0.5"/>
    <n v="6.5"/>
    <n v="156"/>
  </r>
  <r>
    <x v="177"/>
    <x v="1"/>
    <n v="30"/>
    <x v="24"/>
    <n v="1.4876800000000001E-2"/>
    <n v="1000"/>
    <n v="23"/>
    <n v="0.04"/>
    <n v="0"/>
    <n v="23"/>
    <n v="0.5"/>
    <n v="11.5"/>
    <n v="167.5"/>
  </r>
  <r>
    <x v="178"/>
    <x v="1"/>
    <n v="30"/>
    <x v="26"/>
    <n v="1.4284199999999999E-2"/>
    <n v="1000"/>
    <n v="14"/>
    <n v="0.04"/>
    <n v="2"/>
    <n v="16"/>
    <n v="0.5"/>
    <n v="8"/>
    <n v="175.5"/>
  </r>
  <r>
    <x v="179"/>
    <x v="1"/>
    <n v="30"/>
    <x v="23"/>
    <n v="1.6400000000000001E-2"/>
    <n v="1000"/>
    <n v="6"/>
    <n v="0.04"/>
    <n v="2"/>
    <n v="8"/>
    <n v="0.5"/>
    <n v="4"/>
    <n v="179.5"/>
  </r>
  <r>
    <x v="180"/>
    <x v="1"/>
    <n v="30"/>
    <x v="23"/>
    <n v="1.6524199999999999E-2"/>
    <n v="1000"/>
    <n v="7"/>
    <n v="0.04"/>
    <n v="1"/>
    <n v="8"/>
    <n v="0.5"/>
    <n v="4"/>
    <n v="183.5"/>
  </r>
  <r>
    <x v="181"/>
    <x v="1"/>
    <n v="30"/>
    <x v="29"/>
    <n v="1.6956800000000001E-2"/>
    <n v="1000"/>
    <n v="5"/>
    <n v="0.04"/>
    <n v="0"/>
    <n v="5"/>
    <n v="0.5"/>
    <n v="2.5"/>
    <n v="186"/>
  </r>
  <r>
    <x v="182"/>
    <x v="1"/>
    <n v="30"/>
    <x v="29"/>
    <n v="1.6897800000000001E-2"/>
    <n v="1000"/>
    <n v="9"/>
    <n v="0.04"/>
    <n v="1"/>
    <n v="10"/>
    <n v="0.5"/>
    <n v="5"/>
    <n v="191"/>
  </r>
  <r>
    <x v="183"/>
    <x v="1"/>
    <n v="30"/>
    <x v="25"/>
    <n v="1.61472E-2"/>
    <n v="1000"/>
    <n v="1"/>
    <n v="0.04"/>
    <n v="2"/>
    <n v="3"/>
    <n v="0.5"/>
    <n v="1.5"/>
    <n v="192.5"/>
  </r>
  <r>
    <x v="184"/>
    <x v="1"/>
    <n v="30"/>
    <x v="27"/>
    <n v="1.8905000000000002E-2"/>
    <n v="1000"/>
    <n v="4"/>
    <n v="0.04"/>
    <n v="0"/>
    <n v="4"/>
    <n v="0.5"/>
    <n v="2"/>
    <n v="194.5"/>
  </r>
  <r>
    <x v="185"/>
    <x v="1"/>
    <n v="30"/>
    <x v="30"/>
    <n v="1.72712E-2"/>
    <n v="1000"/>
    <n v="6"/>
    <n v="0.04"/>
    <n v="1"/>
    <n v="7"/>
    <n v="0.5"/>
    <n v="3.5"/>
    <n v="198"/>
  </r>
  <r>
    <x v="186"/>
    <x v="1"/>
    <n v="30"/>
    <x v="26"/>
    <n v="1.8945800000000002E-2"/>
    <n v="1000"/>
    <n v="2"/>
    <n v="0.04"/>
    <n v="0"/>
    <n v="2"/>
    <n v="0.5"/>
    <n v="1"/>
    <n v="199"/>
  </r>
  <r>
    <x v="187"/>
    <x v="1"/>
    <n v="30"/>
    <x v="30"/>
    <n v="2.0328800000000001E-2"/>
    <n v="1000"/>
    <n v="3"/>
    <n v="0.04"/>
    <n v="2"/>
    <n v="5"/>
    <n v="0.5"/>
    <n v="2.5"/>
    <n v="201.5"/>
  </r>
  <r>
    <x v="188"/>
    <x v="1"/>
    <n v="30"/>
    <x v="32"/>
    <n v="2.09202E-2"/>
    <n v="1000"/>
    <n v="9"/>
    <n v="0.04"/>
    <n v="1"/>
    <n v="10"/>
    <n v="0.5"/>
    <n v="5"/>
    <n v="206.5"/>
  </r>
  <r>
    <x v="189"/>
    <x v="1"/>
    <n v="30"/>
    <x v="28"/>
    <n v="2.0119999999999999E-2"/>
    <n v="1000"/>
    <n v="7"/>
    <n v="0.04"/>
    <n v="2"/>
    <n v="9"/>
    <n v="0.5"/>
    <n v="4.5"/>
    <n v="211"/>
  </r>
  <r>
    <x v="190"/>
    <x v="1"/>
    <n v="30"/>
    <x v="63"/>
    <n v="1.9728200000000001E-2"/>
    <n v="1000"/>
    <n v="7"/>
    <n v="0.04"/>
    <n v="1"/>
    <n v="8"/>
    <n v="0.5"/>
    <n v="4"/>
    <n v="215"/>
  </r>
  <r>
    <x v="191"/>
    <x v="1"/>
    <n v="30"/>
    <x v="30"/>
    <n v="2.08448E-2"/>
    <n v="1000"/>
    <n v="10"/>
    <n v="0.04"/>
    <n v="0"/>
    <n v="10"/>
    <n v="0.5"/>
    <n v="5"/>
    <n v="220"/>
  </r>
  <r>
    <x v="192"/>
    <x v="1"/>
    <n v="30"/>
    <x v="33"/>
    <n v="2.1369800000000001E-2"/>
    <n v="1000"/>
    <n v="8"/>
    <n v="0.04"/>
    <n v="2"/>
    <n v="10"/>
    <n v="0.5"/>
    <n v="5"/>
    <n v="225"/>
  </r>
  <r>
    <x v="193"/>
    <x v="1"/>
    <n v="30"/>
    <x v="32"/>
    <n v="2.2803200000000003E-2"/>
    <n v="1000"/>
    <n v="6"/>
    <n v="0.04"/>
    <n v="2"/>
    <n v="8"/>
    <n v="0.5"/>
    <n v="4"/>
    <n v="229"/>
  </r>
  <r>
    <x v="194"/>
    <x v="1"/>
    <n v="30"/>
    <x v="63"/>
    <n v="2.1245000000000003E-2"/>
    <n v="1000"/>
    <n v="10"/>
    <n v="0.04"/>
    <n v="1"/>
    <n v="11"/>
    <n v="0.5"/>
    <n v="5.5"/>
    <n v="234.5"/>
  </r>
  <r>
    <x v="195"/>
    <x v="1"/>
    <n v="30"/>
    <x v="30"/>
    <n v="2.2995200000000004E-2"/>
    <n v="1000"/>
    <n v="4"/>
    <n v="0.04"/>
    <n v="1"/>
    <n v="5"/>
    <n v="0.5"/>
    <n v="2.5"/>
    <n v="237"/>
  </r>
  <r>
    <x v="196"/>
    <x v="1"/>
    <n v="30"/>
    <x v="32"/>
    <n v="2.3253800000000005E-2"/>
    <n v="1000"/>
    <n v="7"/>
    <n v="0.04"/>
    <n v="2"/>
    <n v="9"/>
    <n v="0.5"/>
    <n v="4.5"/>
    <n v="241.5"/>
  </r>
  <r>
    <x v="197"/>
    <x v="1"/>
    <n v="30"/>
    <x v="63"/>
    <n v="2.4820800000000007E-2"/>
    <n v="1000"/>
    <n v="9"/>
    <n v="0.04"/>
    <n v="2"/>
    <n v="11"/>
    <n v="0.5"/>
    <n v="5.5"/>
    <n v="247"/>
  </r>
  <r>
    <x v="198"/>
    <x v="1"/>
    <n v="30"/>
    <x v="33"/>
    <n v="2.5096199999999999E-2"/>
    <n v="1000"/>
    <n v="3"/>
    <n v="0.04"/>
    <n v="0"/>
    <n v="3"/>
    <n v="0.5"/>
    <n v="1.5"/>
    <n v="248.5"/>
  </r>
  <r>
    <x v="199"/>
    <x v="1"/>
    <n v="30"/>
    <x v="34"/>
    <n v="2.6179999999999998E-2"/>
    <n v="1000"/>
    <n v="5"/>
    <n v="0.04"/>
    <n v="0"/>
    <n v="5"/>
    <n v="0.5"/>
    <n v="2.5"/>
    <n v="2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E71F3-50D7-4DB1-8660-ADDC9240AEEF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5">
  <location ref="A3:G204" firstHeaderRow="0" firstDataRow="1" firstDataCol="1"/>
  <pivotFields count="13">
    <pivotField axis="axisRow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dataField="1" showAll="0"/>
    <pivotField dataFiel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</pivotFields>
  <rowFields count="1">
    <field x="0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me von D_soll​" fld="2" baseField="0" baseItem="0"/>
    <dataField name="Summe von D_mittel​" fld="3" baseField="0" baseItem="0"/>
    <dataField name="Summe von Ausschuss_Material" fld="6" baseField="0" baseItem="0"/>
    <dataField name="Summe von Ausschuss_Form" fld="8" baseField="0" baseItem="0"/>
    <dataField name="Summe von Ausschuss_gesamt" fld="9" baseField="0" baseItem="0"/>
    <dataField name="Summe von verlust kum.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01DC8-F383-419C-A77E-653CDA40A4D9}" name="PivotTable2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2">
  <location ref="A1:C202" firstHeaderRow="0" firstDataRow="1" firstDataCol="1"/>
  <pivotFields count="13">
    <pivotField axis="axisRow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Fields count="1">
    <field x="-2"/>
  </colFields>
  <colItems count="2">
    <i>
      <x/>
    </i>
    <i i="1">
      <x v="1"/>
    </i>
  </colItems>
  <dataFields count="2">
    <dataField name="IST: Mittelwert Formabweichung" fld="4" subtotal="average" baseField="0" baseItem="10"/>
    <dataField name="SOLL: max. Formabweichung" fld="7" baseField="0" baseItem="10"/>
  </dataFields>
  <chartFormats count="2"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79CDD-C62F-4432-8CA9-F71C687232F3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5">
  <location ref="A3:D19" firstHeaderRow="1" firstDataRow="2" firstDataCol="1"/>
  <pivotFields count="13">
    <pivotField dataField="1" showAll="0"/>
    <pivotField axis="axisCol" showAll="0">
      <items count="3">
        <item x="0"/>
        <item x="1"/>
        <item t="default"/>
      </items>
    </pivotField>
    <pivotField showAll="0"/>
    <pivotField axis="axisRow" numFmtI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nzahl von Charge" fld="0" subtotal="count" baseField="3" baseItem="28"/>
  </dataFields>
  <formats count="1">
    <format dxfId="0">
      <pivotArea dataOnly="0" labelOnly="1" fieldPosition="0">
        <references count="1">
          <reference field="3" count="0"/>
        </references>
      </pivotArea>
    </format>
  </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1277D-6B56-4C25-939E-2325B8E64D5E}" name="PivotTable4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3">
  <location ref="A3:C204" firstHeaderRow="0" firstDataRow="1" firstDataCol="1"/>
  <pivotFields count="13">
    <pivotField axis="axisRow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numFmtId="2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Fields count="1">
    <field x="-2"/>
  </colFields>
  <colItems count="2">
    <i>
      <x/>
    </i>
    <i i="1">
      <x v="1"/>
    </i>
  </colItems>
  <dataFields count="2">
    <dataField name="Zusatzkosten je Presshub" fld="11" baseField="0" baseItem="12"/>
    <dataField name="Zusatzkosten kumulativ" fld="12" baseField="0" baseItem="11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2A20-3230-43B6-828D-76C8B8450DE8}">
  <dimension ref="A3:G204"/>
  <sheetViews>
    <sheetView workbookViewId="0">
      <selection activeCell="A5" sqref="A5"/>
    </sheetView>
  </sheetViews>
  <sheetFormatPr baseColWidth="10" defaultRowHeight="15" x14ac:dyDescent="0.25"/>
  <cols>
    <col min="1" max="1" width="22.7109375" bestFit="1" customWidth="1"/>
    <col min="2" max="2" width="17.7109375" bestFit="1" customWidth="1"/>
    <col min="3" max="3" width="19.85546875" bestFit="1" customWidth="1"/>
    <col min="4" max="4" width="30.140625" bestFit="1" customWidth="1"/>
    <col min="5" max="5" width="27.42578125" bestFit="1" customWidth="1"/>
    <col min="6" max="6" width="29.42578125" bestFit="1" customWidth="1"/>
    <col min="7" max="7" width="23.42578125" bestFit="1" customWidth="1"/>
    <col min="8" max="17" width="8" bestFit="1" customWidth="1"/>
    <col min="18" max="19" width="7" bestFit="1" customWidth="1"/>
    <col min="20" max="26" width="8" bestFit="1" customWidth="1"/>
    <col min="27" max="27" width="7" bestFit="1" customWidth="1"/>
    <col min="28" max="29" width="8" bestFit="1" customWidth="1"/>
    <col min="30" max="31" width="7" bestFit="1" customWidth="1"/>
    <col min="32" max="39" width="8" bestFit="1" customWidth="1"/>
    <col min="40" max="40" width="7" bestFit="1" customWidth="1"/>
    <col min="41" max="45" width="8" bestFit="1" customWidth="1"/>
    <col min="46" max="47" width="7" bestFit="1" customWidth="1"/>
    <col min="48" max="50" width="8" bestFit="1" customWidth="1"/>
    <col min="51" max="51" width="7" bestFit="1" customWidth="1"/>
    <col min="52" max="58" width="8" bestFit="1" customWidth="1"/>
    <col min="59" max="59" width="6" bestFit="1" customWidth="1"/>
    <col min="60" max="63" width="8" bestFit="1" customWidth="1"/>
    <col min="64" max="65" width="7" bestFit="1" customWidth="1"/>
    <col min="66" max="69" width="8" bestFit="1" customWidth="1"/>
    <col min="70" max="70" width="7" bestFit="1" customWidth="1"/>
    <col min="71" max="75" width="8" bestFit="1" customWidth="1"/>
    <col min="76" max="77" width="7" bestFit="1" customWidth="1"/>
    <col min="78" max="81" width="8" bestFit="1" customWidth="1"/>
    <col min="82" max="82" width="7" bestFit="1" customWidth="1"/>
    <col min="83" max="88" width="8" bestFit="1" customWidth="1"/>
    <col min="89" max="89" width="7" bestFit="1" customWidth="1"/>
    <col min="90" max="96" width="8" bestFit="1" customWidth="1"/>
    <col min="97" max="97" width="7" bestFit="1" customWidth="1"/>
    <col min="98" max="105" width="8" bestFit="1" customWidth="1"/>
    <col min="106" max="106" width="6" bestFit="1" customWidth="1"/>
    <col min="107" max="114" width="8" bestFit="1" customWidth="1"/>
    <col min="115" max="115" width="7" bestFit="1" customWidth="1"/>
    <col min="116" max="118" width="8" bestFit="1" customWidth="1"/>
    <col min="119" max="119" width="7" bestFit="1" customWidth="1"/>
    <col min="120" max="123" width="8" bestFit="1" customWidth="1"/>
    <col min="124" max="124" width="7" bestFit="1" customWidth="1"/>
    <col min="125" max="127" width="8" bestFit="1" customWidth="1"/>
    <col min="128" max="128" width="7" bestFit="1" customWidth="1"/>
    <col min="129" max="132" width="8" bestFit="1" customWidth="1"/>
    <col min="133" max="133" width="6" bestFit="1" customWidth="1"/>
    <col min="134" max="135" width="15.85546875" bestFit="1" customWidth="1"/>
    <col min="136" max="201" width="4" bestFit="1" customWidth="1"/>
    <col min="202" max="202" width="15.85546875" bestFit="1" customWidth="1"/>
  </cols>
  <sheetData>
    <row r="3" spans="1:7" x14ac:dyDescent="0.25">
      <c r="A3" s="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7" x14ac:dyDescent="0.25">
      <c r="A4" s="2">
        <v>1</v>
      </c>
      <c r="B4">
        <v>30</v>
      </c>
      <c r="C4">
        <v>30.01</v>
      </c>
      <c r="D4">
        <v>7</v>
      </c>
      <c r="E4">
        <v>0</v>
      </c>
      <c r="F4">
        <v>7</v>
      </c>
      <c r="G4">
        <v>3.5</v>
      </c>
    </row>
    <row r="5" spans="1:7" x14ac:dyDescent="0.25">
      <c r="A5" s="2">
        <v>2</v>
      </c>
      <c r="B5">
        <v>30</v>
      </c>
      <c r="C5">
        <v>29.98</v>
      </c>
      <c r="D5">
        <v>6</v>
      </c>
      <c r="E5">
        <v>1</v>
      </c>
      <c r="F5">
        <v>7</v>
      </c>
      <c r="G5">
        <v>7</v>
      </c>
    </row>
    <row r="6" spans="1:7" x14ac:dyDescent="0.25">
      <c r="A6" s="2">
        <v>3</v>
      </c>
      <c r="B6">
        <v>30</v>
      </c>
      <c r="C6">
        <v>29.99</v>
      </c>
      <c r="D6">
        <v>7</v>
      </c>
      <c r="E6">
        <v>2</v>
      </c>
      <c r="F6">
        <v>9</v>
      </c>
      <c r="G6">
        <v>11.5</v>
      </c>
    </row>
    <row r="7" spans="1:7" x14ac:dyDescent="0.25">
      <c r="A7" s="2">
        <v>4</v>
      </c>
      <c r="B7">
        <v>30</v>
      </c>
      <c r="C7">
        <v>29.99</v>
      </c>
      <c r="D7">
        <v>7</v>
      </c>
      <c r="E7">
        <v>1</v>
      </c>
      <c r="F7">
        <v>8</v>
      </c>
      <c r="G7">
        <v>15.5</v>
      </c>
    </row>
    <row r="8" spans="1:7" x14ac:dyDescent="0.25">
      <c r="A8" s="2">
        <v>5</v>
      </c>
      <c r="B8">
        <v>30</v>
      </c>
      <c r="C8">
        <v>30.04</v>
      </c>
      <c r="D8">
        <v>3</v>
      </c>
      <c r="E8">
        <v>0</v>
      </c>
      <c r="F8">
        <v>3</v>
      </c>
      <c r="G8">
        <v>17</v>
      </c>
    </row>
    <row r="9" spans="1:7" x14ac:dyDescent="0.25">
      <c r="A9" s="2">
        <v>6</v>
      </c>
      <c r="B9">
        <v>30</v>
      </c>
      <c r="C9">
        <v>30.01</v>
      </c>
      <c r="D9">
        <v>10</v>
      </c>
      <c r="E9">
        <v>1</v>
      </c>
      <c r="F9">
        <v>11</v>
      </c>
      <c r="G9">
        <v>22.5</v>
      </c>
    </row>
    <row r="10" spans="1:7" x14ac:dyDescent="0.25">
      <c r="A10" s="2">
        <v>7</v>
      </c>
      <c r="B10">
        <v>30</v>
      </c>
      <c r="C10">
        <v>30.07</v>
      </c>
      <c r="D10">
        <v>6</v>
      </c>
      <c r="E10">
        <v>1</v>
      </c>
      <c r="F10">
        <v>7</v>
      </c>
      <c r="G10">
        <v>26</v>
      </c>
    </row>
    <row r="11" spans="1:7" x14ac:dyDescent="0.25">
      <c r="A11" s="2">
        <v>8</v>
      </c>
      <c r="B11">
        <v>30</v>
      </c>
      <c r="C11">
        <v>30.02</v>
      </c>
      <c r="D11">
        <v>7</v>
      </c>
      <c r="E11">
        <v>2</v>
      </c>
      <c r="F11">
        <v>9</v>
      </c>
      <c r="G11">
        <v>30.5</v>
      </c>
    </row>
    <row r="12" spans="1:7" x14ac:dyDescent="0.25">
      <c r="A12" s="2">
        <v>9</v>
      </c>
      <c r="B12">
        <v>30</v>
      </c>
      <c r="C12">
        <v>30.05</v>
      </c>
      <c r="D12">
        <v>8</v>
      </c>
      <c r="E12">
        <v>0</v>
      </c>
      <c r="F12">
        <v>8</v>
      </c>
      <c r="G12">
        <v>34.5</v>
      </c>
    </row>
    <row r="13" spans="1:7" x14ac:dyDescent="0.25">
      <c r="A13" s="2">
        <v>10</v>
      </c>
      <c r="B13">
        <v>30</v>
      </c>
      <c r="C13">
        <v>30.04</v>
      </c>
      <c r="D13">
        <v>2</v>
      </c>
      <c r="E13">
        <v>1</v>
      </c>
      <c r="F13">
        <v>3</v>
      </c>
      <c r="G13">
        <v>36</v>
      </c>
    </row>
    <row r="14" spans="1:7" x14ac:dyDescent="0.25">
      <c r="A14" s="2">
        <v>11</v>
      </c>
      <c r="B14">
        <v>30</v>
      </c>
      <c r="C14">
        <v>30.07</v>
      </c>
      <c r="D14">
        <v>6</v>
      </c>
      <c r="E14">
        <v>1</v>
      </c>
      <c r="F14">
        <v>7</v>
      </c>
      <c r="G14">
        <v>39.5</v>
      </c>
    </row>
    <row r="15" spans="1:7" x14ac:dyDescent="0.25">
      <c r="A15" s="2">
        <v>12</v>
      </c>
      <c r="B15">
        <v>30</v>
      </c>
      <c r="C15">
        <v>30.06</v>
      </c>
      <c r="D15">
        <v>2</v>
      </c>
      <c r="E15">
        <v>2</v>
      </c>
      <c r="F15">
        <v>4</v>
      </c>
      <c r="G15">
        <v>41.5</v>
      </c>
    </row>
    <row r="16" spans="1:7" x14ac:dyDescent="0.25">
      <c r="A16" s="2">
        <v>13</v>
      </c>
      <c r="B16">
        <v>30</v>
      </c>
      <c r="C16">
        <v>30.09</v>
      </c>
      <c r="D16">
        <v>7</v>
      </c>
      <c r="E16">
        <v>0</v>
      </c>
      <c r="F16">
        <v>7</v>
      </c>
      <c r="G16">
        <v>45</v>
      </c>
    </row>
    <row r="17" spans="1:7" x14ac:dyDescent="0.25">
      <c r="A17" s="2">
        <v>14</v>
      </c>
      <c r="B17">
        <v>30</v>
      </c>
      <c r="C17">
        <v>30.08</v>
      </c>
      <c r="D17">
        <v>2</v>
      </c>
      <c r="E17">
        <v>2</v>
      </c>
      <c r="F17">
        <v>4</v>
      </c>
      <c r="G17">
        <v>47</v>
      </c>
    </row>
    <row r="18" spans="1:7" x14ac:dyDescent="0.25">
      <c r="A18" s="2">
        <v>15</v>
      </c>
      <c r="B18">
        <v>30</v>
      </c>
      <c r="C18">
        <v>30.11</v>
      </c>
      <c r="D18">
        <v>7</v>
      </c>
      <c r="E18">
        <v>1</v>
      </c>
      <c r="F18">
        <v>8</v>
      </c>
      <c r="G18">
        <v>51</v>
      </c>
    </row>
    <row r="19" spans="1:7" x14ac:dyDescent="0.25">
      <c r="A19" s="2">
        <v>16</v>
      </c>
      <c r="B19">
        <v>30</v>
      </c>
      <c r="C19">
        <v>30.08</v>
      </c>
      <c r="D19">
        <v>10</v>
      </c>
      <c r="E19">
        <v>1</v>
      </c>
      <c r="F19">
        <v>11</v>
      </c>
      <c r="G19">
        <v>56.5</v>
      </c>
    </row>
    <row r="20" spans="1:7" x14ac:dyDescent="0.25">
      <c r="A20" s="2">
        <v>17</v>
      </c>
      <c r="B20">
        <v>30</v>
      </c>
      <c r="C20">
        <v>30.06</v>
      </c>
      <c r="D20">
        <v>4</v>
      </c>
      <c r="E20">
        <v>2</v>
      </c>
      <c r="F20">
        <v>6</v>
      </c>
      <c r="G20">
        <v>59.5</v>
      </c>
    </row>
    <row r="21" spans="1:7" x14ac:dyDescent="0.25">
      <c r="A21" s="2">
        <v>18</v>
      </c>
      <c r="B21">
        <v>30</v>
      </c>
      <c r="C21">
        <v>30.11</v>
      </c>
      <c r="D21">
        <v>3</v>
      </c>
      <c r="E21">
        <v>1</v>
      </c>
      <c r="F21">
        <v>4</v>
      </c>
      <c r="G21">
        <v>61.5</v>
      </c>
    </row>
    <row r="22" spans="1:7" x14ac:dyDescent="0.25">
      <c r="A22" s="2">
        <v>19</v>
      </c>
      <c r="B22">
        <v>30</v>
      </c>
      <c r="C22">
        <v>30.07</v>
      </c>
      <c r="D22">
        <v>5</v>
      </c>
      <c r="E22">
        <v>2</v>
      </c>
      <c r="F22">
        <v>7</v>
      </c>
      <c r="G22">
        <v>65</v>
      </c>
    </row>
    <row r="23" spans="1:7" x14ac:dyDescent="0.25">
      <c r="A23" s="2">
        <v>20</v>
      </c>
      <c r="B23">
        <v>30</v>
      </c>
      <c r="C23">
        <v>30.14</v>
      </c>
      <c r="D23">
        <v>9</v>
      </c>
      <c r="E23">
        <v>0</v>
      </c>
      <c r="F23">
        <v>9</v>
      </c>
      <c r="G23">
        <v>69.5</v>
      </c>
    </row>
    <row r="24" spans="1:7" x14ac:dyDescent="0.25">
      <c r="A24" s="2">
        <v>21</v>
      </c>
      <c r="B24">
        <v>30</v>
      </c>
      <c r="C24">
        <v>30.1</v>
      </c>
      <c r="D24">
        <v>5</v>
      </c>
      <c r="E24">
        <v>2</v>
      </c>
      <c r="F24">
        <v>7</v>
      </c>
      <c r="G24">
        <v>73</v>
      </c>
    </row>
    <row r="25" spans="1:7" x14ac:dyDescent="0.25">
      <c r="A25" s="2">
        <v>22</v>
      </c>
      <c r="B25">
        <v>30</v>
      </c>
      <c r="C25">
        <v>30.12</v>
      </c>
      <c r="D25">
        <v>7</v>
      </c>
      <c r="E25">
        <v>2</v>
      </c>
      <c r="F25">
        <v>9</v>
      </c>
      <c r="G25">
        <v>77.5</v>
      </c>
    </row>
    <row r="26" spans="1:7" x14ac:dyDescent="0.25">
      <c r="A26" s="2">
        <v>23</v>
      </c>
      <c r="B26">
        <v>30</v>
      </c>
      <c r="C26">
        <v>30.14</v>
      </c>
      <c r="D26">
        <v>9</v>
      </c>
      <c r="E26">
        <v>0</v>
      </c>
      <c r="F26">
        <v>9</v>
      </c>
      <c r="G26">
        <v>82</v>
      </c>
    </row>
    <row r="27" spans="1:7" x14ac:dyDescent="0.25">
      <c r="A27" s="2">
        <v>24</v>
      </c>
      <c r="B27">
        <v>30</v>
      </c>
      <c r="C27">
        <v>30.15</v>
      </c>
      <c r="D27">
        <v>9</v>
      </c>
      <c r="E27">
        <v>1</v>
      </c>
      <c r="F27">
        <v>10</v>
      </c>
      <c r="G27">
        <v>87</v>
      </c>
    </row>
    <row r="28" spans="1:7" x14ac:dyDescent="0.25">
      <c r="A28" s="2">
        <v>25</v>
      </c>
      <c r="B28">
        <v>30</v>
      </c>
      <c r="C28">
        <v>30.11</v>
      </c>
      <c r="D28">
        <v>5</v>
      </c>
      <c r="E28">
        <v>2</v>
      </c>
      <c r="F28">
        <v>7</v>
      </c>
      <c r="G28">
        <v>90.5</v>
      </c>
    </row>
    <row r="29" spans="1:7" x14ac:dyDescent="0.25">
      <c r="A29" s="2">
        <v>26</v>
      </c>
      <c r="B29">
        <v>30</v>
      </c>
      <c r="C29">
        <v>30.13</v>
      </c>
      <c r="D29">
        <v>9</v>
      </c>
      <c r="E29">
        <v>1</v>
      </c>
      <c r="F29">
        <v>10</v>
      </c>
      <c r="G29">
        <v>95.5</v>
      </c>
    </row>
    <row r="30" spans="1:7" x14ac:dyDescent="0.25">
      <c r="A30" s="2">
        <v>27</v>
      </c>
      <c r="B30">
        <v>30</v>
      </c>
      <c r="C30">
        <v>30.15</v>
      </c>
      <c r="D30">
        <v>4</v>
      </c>
      <c r="E30">
        <v>0</v>
      </c>
      <c r="F30">
        <v>4</v>
      </c>
      <c r="G30">
        <v>97.5</v>
      </c>
    </row>
    <row r="31" spans="1:7" x14ac:dyDescent="0.25">
      <c r="A31" s="2">
        <v>28</v>
      </c>
      <c r="B31">
        <v>30</v>
      </c>
      <c r="C31">
        <v>30.18</v>
      </c>
      <c r="D31">
        <v>9</v>
      </c>
      <c r="E31">
        <v>1</v>
      </c>
      <c r="F31">
        <v>10</v>
      </c>
      <c r="G31">
        <v>102.5</v>
      </c>
    </row>
    <row r="32" spans="1:7" x14ac:dyDescent="0.25">
      <c r="A32" s="2">
        <v>29</v>
      </c>
      <c r="B32">
        <v>30</v>
      </c>
      <c r="C32">
        <v>30.15</v>
      </c>
      <c r="D32">
        <v>4</v>
      </c>
      <c r="E32">
        <v>0</v>
      </c>
      <c r="F32">
        <v>4</v>
      </c>
      <c r="G32">
        <v>104.5</v>
      </c>
    </row>
    <row r="33" spans="1:7" x14ac:dyDescent="0.25">
      <c r="A33" s="2">
        <v>30</v>
      </c>
      <c r="B33">
        <v>30</v>
      </c>
      <c r="C33">
        <v>30.16</v>
      </c>
      <c r="D33">
        <v>8</v>
      </c>
      <c r="E33">
        <v>1</v>
      </c>
      <c r="F33">
        <v>9</v>
      </c>
      <c r="G33">
        <v>109</v>
      </c>
    </row>
    <row r="34" spans="1:7" x14ac:dyDescent="0.25">
      <c r="A34" s="2">
        <v>31</v>
      </c>
      <c r="B34">
        <v>30</v>
      </c>
      <c r="C34">
        <v>30.17</v>
      </c>
      <c r="D34">
        <v>7</v>
      </c>
      <c r="E34">
        <v>1</v>
      </c>
      <c r="F34">
        <v>8</v>
      </c>
      <c r="G34">
        <v>113</v>
      </c>
    </row>
    <row r="35" spans="1:7" x14ac:dyDescent="0.25">
      <c r="A35" s="2">
        <v>32</v>
      </c>
      <c r="B35">
        <v>30</v>
      </c>
      <c r="C35">
        <v>30.15</v>
      </c>
      <c r="D35">
        <v>8</v>
      </c>
      <c r="E35">
        <v>2</v>
      </c>
      <c r="F35">
        <v>10</v>
      </c>
      <c r="G35">
        <v>118</v>
      </c>
    </row>
    <row r="36" spans="1:7" x14ac:dyDescent="0.25">
      <c r="A36" s="2">
        <v>33</v>
      </c>
      <c r="B36">
        <v>30</v>
      </c>
      <c r="C36">
        <v>30.16</v>
      </c>
      <c r="D36">
        <v>8</v>
      </c>
      <c r="E36">
        <v>0</v>
      </c>
      <c r="F36">
        <v>8</v>
      </c>
      <c r="G36">
        <v>122</v>
      </c>
    </row>
    <row r="37" spans="1:7" x14ac:dyDescent="0.25">
      <c r="A37" s="2">
        <v>34</v>
      </c>
      <c r="B37">
        <v>30</v>
      </c>
      <c r="C37">
        <v>30.16</v>
      </c>
      <c r="D37">
        <v>3</v>
      </c>
      <c r="E37">
        <v>1</v>
      </c>
      <c r="F37">
        <v>4</v>
      </c>
      <c r="G37">
        <v>124</v>
      </c>
    </row>
    <row r="38" spans="1:7" x14ac:dyDescent="0.25">
      <c r="A38" s="2">
        <v>35</v>
      </c>
      <c r="B38">
        <v>30</v>
      </c>
      <c r="C38">
        <v>30.17</v>
      </c>
      <c r="D38">
        <v>7</v>
      </c>
      <c r="E38">
        <v>2</v>
      </c>
      <c r="F38">
        <v>9</v>
      </c>
      <c r="G38">
        <v>128.5</v>
      </c>
    </row>
    <row r="39" spans="1:7" x14ac:dyDescent="0.25">
      <c r="A39" s="2">
        <v>36</v>
      </c>
      <c r="B39">
        <v>30</v>
      </c>
      <c r="C39">
        <v>30.17</v>
      </c>
      <c r="D39">
        <v>1</v>
      </c>
      <c r="E39">
        <v>0</v>
      </c>
      <c r="F39">
        <v>1</v>
      </c>
      <c r="G39">
        <v>129</v>
      </c>
    </row>
    <row r="40" spans="1:7" x14ac:dyDescent="0.25">
      <c r="A40" s="2">
        <v>37</v>
      </c>
      <c r="B40">
        <v>30</v>
      </c>
      <c r="C40">
        <v>30.2</v>
      </c>
      <c r="D40">
        <v>5</v>
      </c>
      <c r="E40">
        <v>2</v>
      </c>
      <c r="F40">
        <v>7</v>
      </c>
      <c r="G40">
        <v>132.5</v>
      </c>
    </row>
    <row r="41" spans="1:7" x14ac:dyDescent="0.25">
      <c r="A41" s="2">
        <v>38</v>
      </c>
      <c r="B41">
        <v>30</v>
      </c>
      <c r="C41">
        <v>30.17</v>
      </c>
      <c r="D41">
        <v>2</v>
      </c>
      <c r="E41">
        <v>2</v>
      </c>
      <c r="F41">
        <v>4</v>
      </c>
      <c r="G41">
        <v>134.5</v>
      </c>
    </row>
    <row r="42" spans="1:7" x14ac:dyDescent="0.25">
      <c r="A42" s="2">
        <v>39</v>
      </c>
      <c r="B42">
        <v>30</v>
      </c>
      <c r="C42">
        <v>30.21</v>
      </c>
      <c r="D42">
        <v>1</v>
      </c>
      <c r="E42">
        <v>2</v>
      </c>
      <c r="F42">
        <v>3</v>
      </c>
      <c r="G42">
        <v>136</v>
      </c>
    </row>
    <row r="43" spans="1:7" x14ac:dyDescent="0.25">
      <c r="A43" s="2">
        <v>40</v>
      </c>
      <c r="B43">
        <v>30</v>
      </c>
      <c r="C43">
        <v>30.21</v>
      </c>
      <c r="D43">
        <v>10</v>
      </c>
      <c r="E43">
        <v>2</v>
      </c>
      <c r="F43">
        <v>12</v>
      </c>
      <c r="G43">
        <v>142</v>
      </c>
    </row>
    <row r="44" spans="1:7" x14ac:dyDescent="0.25">
      <c r="A44" s="2">
        <v>41</v>
      </c>
      <c r="B44">
        <v>30</v>
      </c>
      <c r="C44">
        <v>30.22</v>
      </c>
      <c r="D44">
        <v>7</v>
      </c>
      <c r="E44">
        <v>2</v>
      </c>
      <c r="F44">
        <v>9</v>
      </c>
      <c r="G44">
        <v>146.5</v>
      </c>
    </row>
    <row r="45" spans="1:7" x14ac:dyDescent="0.25">
      <c r="A45" s="2">
        <v>42</v>
      </c>
      <c r="B45">
        <v>30</v>
      </c>
      <c r="C45">
        <v>30.19</v>
      </c>
      <c r="D45">
        <v>1</v>
      </c>
      <c r="E45">
        <v>0</v>
      </c>
      <c r="F45">
        <v>1</v>
      </c>
      <c r="G45">
        <v>147</v>
      </c>
    </row>
    <row r="46" spans="1:7" x14ac:dyDescent="0.25">
      <c r="A46" s="2">
        <v>43</v>
      </c>
      <c r="B46">
        <v>30</v>
      </c>
      <c r="C46">
        <v>30.22</v>
      </c>
      <c r="D46">
        <v>6</v>
      </c>
      <c r="E46">
        <v>0</v>
      </c>
      <c r="F46">
        <v>6</v>
      </c>
      <c r="G46">
        <v>150</v>
      </c>
    </row>
    <row r="47" spans="1:7" x14ac:dyDescent="0.25">
      <c r="A47" s="2">
        <v>44</v>
      </c>
      <c r="B47">
        <v>30</v>
      </c>
      <c r="C47">
        <v>30.26</v>
      </c>
      <c r="D47">
        <v>0</v>
      </c>
      <c r="E47">
        <v>0</v>
      </c>
      <c r="F47">
        <v>0</v>
      </c>
      <c r="G47">
        <v>150</v>
      </c>
    </row>
    <row r="48" spans="1:7" x14ac:dyDescent="0.25">
      <c r="A48" s="2">
        <v>45</v>
      </c>
      <c r="B48">
        <v>30</v>
      </c>
      <c r="C48">
        <v>30.2</v>
      </c>
      <c r="D48">
        <v>10</v>
      </c>
      <c r="E48">
        <v>2</v>
      </c>
      <c r="F48">
        <v>12</v>
      </c>
      <c r="G48">
        <v>156</v>
      </c>
    </row>
    <row r="49" spans="1:7" x14ac:dyDescent="0.25">
      <c r="A49" s="2">
        <v>46</v>
      </c>
      <c r="B49">
        <v>30</v>
      </c>
      <c r="C49">
        <v>30.24</v>
      </c>
      <c r="D49">
        <v>10</v>
      </c>
      <c r="E49">
        <v>1</v>
      </c>
      <c r="F49">
        <v>11</v>
      </c>
      <c r="G49">
        <v>161.5</v>
      </c>
    </row>
    <row r="50" spans="1:7" x14ac:dyDescent="0.25">
      <c r="A50" s="2">
        <v>47</v>
      </c>
      <c r="B50">
        <v>30</v>
      </c>
      <c r="C50">
        <v>30.21</v>
      </c>
      <c r="D50">
        <v>2</v>
      </c>
      <c r="E50">
        <v>2</v>
      </c>
      <c r="F50">
        <v>4</v>
      </c>
      <c r="G50">
        <v>163.5</v>
      </c>
    </row>
    <row r="51" spans="1:7" x14ac:dyDescent="0.25">
      <c r="A51" s="2">
        <v>48</v>
      </c>
      <c r="B51">
        <v>30</v>
      </c>
      <c r="C51">
        <v>30.24</v>
      </c>
      <c r="D51">
        <v>9</v>
      </c>
      <c r="E51">
        <v>0</v>
      </c>
      <c r="F51">
        <v>9</v>
      </c>
      <c r="G51">
        <v>168</v>
      </c>
    </row>
    <row r="52" spans="1:7" x14ac:dyDescent="0.25">
      <c r="A52" s="2">
        <v>49</v>
      </c>
      <c r="B52">
        <v>30</v>
      </c>
      <c r="C52">
        <v>30.22</v>
      </c>
      <c r="D52">
        <v>4</v>
      </c>
      <c r="E52">
        <v>0</v>
      </c>
      <c r="F52">
        <v>4</v>
      </c>
      <c r="G52">
        <v>170</v>
      </c>
    </row>
    <row r="53" spans="1:7" x14ac:dyDescent="0.25">
      <c r="A53" s="2">
        <v>50</v>
      </c>
      <c r="B53">
        <v>30</v>
      </c>
      <c r="C53">
        <v>30.28</v>
      </c>
      <c r="D53">
        <v>8</v>
      </c>
      <c r="E53">
        <v>1</v>
      </c>
      <c r="F53">
        <v>9</v>
      </c>
      <c r="G53">
        <v>174.5</v>
      </c>
    </row>
    <row r="54" spans="1:7" x14ac:dyDescent="0.25">
      <c r="A54" s="2">
        <v>51</v>
      </c>
      <c r="B54">
        <v>30</v>
      </c>
      <c r="C54">
        <v>30.24</v>
      </c>
      <c r="D54">
        <v>8</v>
      </c>
      <c r="E54">
        <v>1</v>
      </c>
      <c r="F54">
        <v>9</v>
      </c>
      <c r="G54">
        <v>179</v>
      </c>
    </row>
    <row r="55" spans="1:7" x14ac:dyDescent="0.25">
      <c r="A55" s="2">
        <v>52</v>
      </c>
      <c r="B55">
        <v>30</v>
      </c>
      <c r="C55">
        <v>30.26</v>
      </c>
      <c r="D55">
        <v>5</v>
      </c>
      <c r="E55">
        <v>1</v>
      </c>
      <c r="F55">
        <v>6</v>
      </c>
      <c r="G55">
        <v>182</v>
      </c>
    </row>
    <row r="56" spans="1:7" x14ac:dyDescent="0.25">
      <c r="A56" s="2">
        <v>53</v>
      </c>
      <c r="B56">
        <v>30</v>
      </c>
      <c r="C56">
        <v>30.25</v>
      </c>
      <c r="D56">
        <v>1</v>
      </c>
      <c r="E56">
        <v>1</v>
      </c>
      <c r="F56">
        <v>2</v>
      </c>
      <c r="G56">
        <v>183</v>
      </c>
    </row>
    <row r="57" spans="1:7" x14ac:dyDescent="0.25">
      <c r="A57" s="2">
        <v>54</v>
      </c>
      <c r="B57">
        <v>30</v>
      </c>
      <c r="C57">
        <v>30.28</v>
      </c>
      <c r="D57">
        <v>3</v>
      </c>
      <c r="E57">
        <v>0</v>
      </c>
      <c r="F57">
        <v>3</v>
      </c>
      <c r="G57">
        <v>184.5</v>
      </c>
    </row>
    <row r="58" spans="1:7" x14ac:dyDescent="0.25">
      <c r="A58" s="2">
        <v>55</v>
      </c>
      <c r="B58">
        <v>30</v>
      </c>
      <c r="C58">
        <v>30.28</v>
      </c>
      <c r="D58">
        <v>5</v>
      </c>
      <c r="E58">
        <v>0</v>
      </c>
      <c r="F58">
        <v>5</v>
      </c>
      <c r="G58">
        <v>187</v>
      </c>
    </row>
    <row r="59" spans="1:7" x14ac:dyDescent="0.25">
      <c r="A59" s="2">
        <v>56</v>
      </c>
      <c r="B59">
        <v>30</v>
      </c>
      <c r="C59">
        <v>30.3</v>
      </c>
      <c r="D59">
        <v>1</v>
      </c>
      <c r="E59">
        <v>0</v>
      </c>
      <c r="F59">
        <v>1</v>
      </c>
      <c r="G59">
        <v>187.5</v>
      </c>
    </row>
    <row r="60" spans="1:7" x14ac:dyDescent="0.25">
      <c r="A60" s="2">
        <v>57</v>
      </c>
      <c r="B60">
        <v>30</v>
      </c>
      <c r="C60">
        <v>30.25</v>
      </c>
      <c r="D60">
        <v>8</v>
      </c>
      <c r="E60">
        <v>1</v>
      </c>
      <c r="F60">
        <v>9</v>
      </c>
      <c r="G60">
        <v>192</v>
      </c>
    </row>
    <row r="61" spans="1:7" x14ac:dyDescent="0.25">
      <c r="A61" s="2">
        <v>58</v>
      </c>
      <c r="B61">
        <v>30</v>
      </c>
      <c r="C61">
        <v>30.29</v>
      </c>
      <c r="D61">
        <v>1</v>
      </c>
      <c r="E61">
        <v>1</v>
      </c>
      <c r="F61">
        <v>2</v>
      </c>
      <c r="G61">
        <v>193</v>
      </c>
    </row>
    <row r="62" spans="1:7" x14ac:dyDescent="0.25">
      <c r="A62" s="2">
        <v>59</v>
      </c>
      <c r="B62">
        <v>30</v>
      </c>
      <c r="C62">
        <v>30.28</v>
      </c>
      <c r="D62">
        <v>2</v>
      </c>
      <c r="E62">
        <v>0</v>
      </c>
      <c r="F62">
        <v>2</v>
      </c>
      <c r="G62">
        <v>194</v>
      </c>
    </row>
    <row r="63" spans="1:7" x14ac:dyDescent="0.25">
      <c r="A63" s="2">
        <v>60</v>
      </c>
      <c r="B63">
        <v>30</v>
      </c>
      <c r="C63">
        <v>30.27</v>
      </c>
      <c r="D63">
        <v>9</v>
      </c>
      <c r="E63">
        <v>0</v>
      </c>
      <c r="F63">
        <v>9</v>
      </c>
      <c r="G63">
        <v>198.5</v>
      </c>
    </row>
    <row r="64" spans="1:7" x14ac:dyDescent="0.25">
      <c r="A64" s="2">
        <v>61</v>
      </c>
      <c r="B64">
        <v>30</v>
      </c>
      <c r="C64">
        <v>30.31</v>
      </c>
      <c r="D64">
        <v>9</v>
      </c>
      <c r="E64">
        <v>1</v>
      </c>
      <c r="F64">
        <v>10</v>
      </c>
      <c r="G64">
        <v>203.5</v>
      </c>
    </row>
    <row r="65" spans="1:7" x14ac:dyDescent="0.25">
      <c r="A65" s="2">
        <v>62</v>
      </c>
      <c r="B65">
        <v>30</v>
      </c>
      <c r="C65">
        <v>30.35</v>
      </c>
      <c r="D65">
        <v>6</v>
      </c>
      <c r="E65">
        <v>1</v>
      </c>
      <c r="F65">
        <v>7</v>
      </c>
      <c r="G65">
        <v>207</v>
      </c>
    </row>
    <row r="66" spans="1:7" x14ac:dyDescent="0.25">
      <c r="A66" s="2">
        <v>63</v>
      </c>
      <c r="B66">
        <v>30</v>
      </c>
      <c r="C66">
        <v>30.3</v>
      </c>
      <c r="D66">
        <v>7</v>
      </c>
      <c r="E66">
        <v>2</v>
      </c>
      <c r="F66">
        <v>9</v>
      </c>
      <c r="G66">
        <v>211.5</v>
      </c>
    </row>
    <row r="67" spans="1:7" x14ac:dyDescent="0.25">
      <c r="A67" s="2">
        <v>64</v>
      </c>
      <c r="B67">
        <v>30</v>
      </c>
      <c r="C67">
        <v>30.33</v>
      </c>
      <c r="D67">
        <v>5</v>
      </c>
      <c r="E67">
        <v>2</v>
      </c>
      <c r="F67">
        <v>7</v>
      </c>
      <c r="G67">
        <v>215</v>
      </c>
    </row>
    <row r="68" spans="1:7" x14ac:dyDescent="0.25">
      <c r="A68" s="2">
        <v>65</v>
      </c>
      <c r="B68">
        <v>30</v>
      </c>
      <c r="C68">
        <v>30.34</v>
      </c>
      <c r="D68">
        <v>2</v>
      </c>
      <c r="E68">
        <v>0</v>
      </c>
      <c r="F68">
        <v>2</v>
      </c>
      <c r="G68">
        <v>216</v>
      </c>
    </row>
    <row r="69" spans="1:7" x14ac:dyDescent="0.25">
      <c r="A69" s="2">
        <v>66</v>
      </c>
      <c r="B69">
        <v>30</v>
      </c>
      <c r="C69">
        <v>30.31</v>
      </c>
      <c r="D69">
        <v>6</v>
      </c>
      <c r="E69">
        <v>1</v>
      </c>
      <c r="F69">
        <v>7</v>
      </c>
      <c r="G69">
        <v>219.5</v>
      </c>
    </row>
    <row r="70" spans="1:7" x14ac:dyDescent="0.25">
      <c r="A70" s="2">
        <v>67</v>
      </c>
      <c r="B70">
        <v>30</v>
      </c>
      <c r="C70">
        <v>30.33</v>
      </c>
      <c r="D70">
        <v>2</v>
      </c>
      <c r="E70">
        <v>0</v>
      </c>
      <c r="F70">
        <v>2</v>
      </c>
      <c r="G70">
        <v>220.5</v>
      </c>
    </row>
    <row r="71" spans="1:7" x14ac:dyDescent="0.25">
      <c r="A71" s="2">
        <v>68</v>
      </c>
      <c r="B71">
        <v>30</v>
      </c>
      <c r="C71">
        <v>30.36</v>
      </c>
      <c r="D71">
        <v>8</v>
      </c>
      <c r="E71">
        <v>0</v>
      </c>
      <c r="F71">
        <v>8</v>
      </c>
      <c r="G71">
        <v>224.5</v>
      </c>
    </row>
    <row r="72" spans="1:7" x14ac:dyDescent="0.25">
      <c r="A72" s="2">
        <v>69</v>
      </c>
      <c r="B72">
        <v>30</v>
      </c>
      <c r="C72">
        <v>30.37</v>
      </c>
      <c r="D72">
        <v>6</v>
      </c>
      <c r="E72">
        <v>2</v>
      </c>
      <c r="F72">
        <v>8</v>
      </c>
      <c r="G72">
        <v>228.5</v>
      </c>
    </row>
    <row r="73" spans="1:7" x14ac:dyDescent="0.25">
      <c r="A73" s="2">
        <v>70</v>
      </c>
      <c r="B73">
        <v>30</v>
      </c>
      <c r="C73">
        <v>30.4</v>
      </c>
      <c r="D73">
        <v>10</v>
      </c>
      <c r="E73">
        <v>1</v>
      </c>
      <c r="F73">
        <v>11</v>
      </c>
      <c r="G73">
        <v>234</v>
      </c>
    </row>
    <row r="74" spans="1:7" x14ac:dyDescent="0.25">
      <c r="A74" s="2">
        <v>71</v>
      </c>
      <c r="B74">
        <v>30</v>
      </c>
      <c r="C74">
        <v>30.38</v>
      </c>
      <c r="D74">
        <v>6</v>
      </c>
      <c r="E74">
        <v>1</v>
      </c>
      <c r="F74">
        <v>7</v>
      </c>
      <c r="G74">
        <v>237.5</v>
      </c>
    </row>
    <row r="75" spans="1:7" x14ac:dyDescent="0.25">
      <c r="A75" s="2">
        <v>72</v>
      </c>
      <c r="B75">
        <v>30</v>
      </c>
      <c r="C75">
        <v>30.34</v>
      </c>
      <c r="D75">
        <v>10</v>
      </c>
      <c r="E75">
        <v>0</v>
      </c>
      <c r="F75">
        <v>10</v>
      </c>
      <c r="G75">
        <v>242.5</v>
      </c>
    </row>
    <row r="76" spans="1:7" x14ac:dyDescent="0.25">
      <c r="A76" s="2">
        <v>73</v>
      </c>
      <c r="B76">
        <v>30</v>
      </c>
      <c r="C76">
        <v>30.35</v>
      </c>
      <c r="D76">
        <v>8</v>
      </c>
      <c r="E76">
        <v>1</v>
      </c>
      <c r="F76">
        <v>9</v>
      </c>
      <c r="G76">
        <v>247</v>
      </c>
    </row>
    <row r="77" spans="1:7" x14ac:dyDescent="0.25">
      <c r="A77" s="2">
        <v>74</v>
      </c>
      <c r="B77">
        <v>30</v>
      </c>
      <c r="C77">
        <v>30.37</v>
      </c>
      <c r="D77">
        <v>9</v>
      </c>
      <c r="E77">
        <v>1</v>
      </c>
      <c r="F77">
        <v>10</v>
      </c>
      <c r="G77">
        <v>252</v>
      </c>
    </row>
    <row r="78" spans="1:7" x14ac:dyDescent="0.25">
      <c r="A78" s="2">
        <v>75</v>
      </c>
      <c r="B78">
        <v>30</v>
      </c>
      <c r="C78">
        <v>30.36</v>
      </c>
      <c r="D78">
        <v>6</v>
      </c>
      <c r="E78">
        <v>1</v>
      </c>
      <c r="F78">
        <v>7</v>
      </c>
      <c r="G78">
        <v>255.5</v>
      </c>
    </row>
    <row r="79" spans="1:7" x14ac:dyDescent="0.25">
      <c r="A79" s="2">
        <v>76</v>
      </c>
      <c r="B79">
        <v>30</v>
      </c>
      <c r="C79">
        <v>30.38</v>
      </c>
      <c r="D79">
        <v>2</v>
      </c>
      <c r="E79">
        <v>0</v>
      </c>
      <c r="F79">
        <v>2</v>
      </c>
      <c r="G79">
        <v>256.5</v>
      </c>
    </row>
    <row r="80" spans="1:7" x14ac:dyDescent="0.25">
      <c r="A80" s="2">
        <v>77</v>
      </c>
      <c r="B80">
        <v>30</v>
      </c>
      <c r="C80">
        <v>30.37</v>
      </c>
      <c r="D80">
        <v>9</v>
      </c>
      <c r="E80">
        <v>0</v>
      </c>
      <c r="F80">
        <v>9</v>
      </c>
      <c r="G80">
        <v>261</v>
      </c>
    </row>
    <row r="81" spans="1:7" x14ac:dyDescent="0.25">
      <c r="A81" s="2">
        <v>78</v>
      </c>
      <c r="B81">
        <v>30</v>
      </c>
      <c r="C81">
        <v>30.36</v>
      </c>
      <c r="D81">
        <v>9</v>
      </c>
      <c r="E81">
        <v>2</v>
      </c>
      <c r="F81">
        <v>11</v>
      </c>
      <c r="G81">
        <v>266.5</v>
      </c>
    </row>
    <row r="82" spans="1:7" x14ac:dyDescent="0.25">
      <c r="A82" s="2">
        <v>79</v>
      </c>
      <c r="B82">
        <v>30</v>
      </c>
      <c r="C82">
        <v>30.41</v>
      </c>
      <c r="D82">
        <v>7</v>
      </c>
      <c r="E82">
        <v>2</v>
      </c>
      <c r="F82">
        <v>9</v>
      </c>
      <c r="G82">
        <v>271</v>
      </c>
    </row>
    <row r="83" spans="1:7" x14ac:dyDescent="0.25">
      <c r="A83" s="2">
        <v>80</v>
      </c>
      <c r="B83">
        <v>30</v>
      </c>
      <c r="C83">
        <v>30.43</v>
      </c>
      <c r="D83">
        <v>10</v>
      </c>
      <c r="E83">
        <v>2</v>
      </c>
      <c r="F83">
        <v>12</v>
      </c>
      <c r="G83">
        <v>277</v>
      </c>
    </row>
    <row r="84" spans="1:7" x14ac:dyDescent="0.25">
      <c r="A84" s="2">
        <v>81</v>
      </c>
      <c r="B84">
        <v>30</v>
      </c>
      <c r="C84">
        <v>30.38</v>
      </c>
      <c r="D84">
        <v>8</v>
      </c>
      <c r="E84">
        <v>2</v>
      </c>
      <c r="F84">
        <v>10</v>
      </c>
      <c r="G84">
        <v>282</v>
      </c>
    </row>
    <row r="85" spans="1:7" x14ac:dyDescent="0.25">
      <c r="A85" s="2">
        <v>82</v>
      </c>
      <c r="B85">
        <v>30</v>
      </c>
      <c r="C85">
        <v>30.45</v>
      </c>
      <c r="D85">
        <v>1</v>
      </c>
      <c r="E85">
        <v>0</v>
      </c>
      <c r="F85">
        <v>1</v>
      </c>
      <c r="G85">
        <v>282.5</v>
      </c>
    </row>
    <row r="86" spans="1:7" x14ac:dyDescent="0.25">
      <c r="A86" s="2">
        <v>83</v>
      </c>
      <c r="B86">
        <v>30</v>
      </c>
      <c r="C86">
        <v>30.41</v>
      </c>
      <c r="D86">
        <v>9</v>
      </c>
      <c r="E86">
        <v>2</v>
      </c>
      <c r="F86">
        <v>11</v>
      </c>
      <c r="G86">
        <v>288</v>
      </c>
    </row>
    <row r="87" spans="1:7" x14ac:dyDescent="0.25">
      <c r="A87" s="2">
        <v>84</v>
      </c>
      <c r="B87">
        <v>30</v>
      </c>
      <c r="C87">
        <v>30.42</v>
      </c>
      <c r="D87">
        <v>7</v>
      </c>
      <c r="E87">
        <v>0</v>
      </c>
      <c r="F87">
        <v>7</v>
      </c>
      <c r="G87">
        <v>291.5</v>
      </c>
    </row>
    <row r="88" spans="1:7" x14ac:dyDescent="0.25">
      <c r="A88" s="2">
        <v>85</v>
      </c>
      <c r="B88">
        <v>30</v>
      </c>
      <c r="C88">
        <v>30.42</v>
      </c>
      <c r="D88">
        <v>5</v>
      </c>
      <c r="E88">
        <v>0</v>
      </c>
      <c r="F88">
        <v>5</v>
      </c>
      <c r="G88">
        <v>294</v>
      </c>
    </row>
    <row r="89" spans="1:7" x14ac:dyDescent="0.25">
      <c r="A89" s="2">
        <v>86</v>
      </c>
      <c r="B89">
        <v>30</v>
      </c>
      <c r="C89">
        <v>30.44</v>
      </c>
      <c r="D89">
        <v>10</v>
      </c>
      <c r="E89">
        <v>0</v>
      </c>
      <c r="F89">
        <v>10</v>
      </c>
      <c r="G89">
        <v>299</v>
      </c>
    </row>
    <row r="90" spans="1:7" x14ac:dyDescent="0.25">
      <c r="A90" s="2">
        <v>87</v>
      </c>
      <c r="B90">
        <v>30</v>
      </c>
      <c r="C90">
        <v>30.43</v>
      </c>
      <c r="D90">
        <v>4</v>
      </c>
      <c r="E90">
        <v>2</v>
      </c>
      <c r="F90">
        <v>6</v>
      </c>
      <c r="G90">
        <v>302</v>
      </c>
    </row>
    <row r="91" spans="1:7" x14ac:dyDescent="0.25">
      <c r="A91" s="2">
        <v>88</v>
      </c>
      <c r="B91">
        <v>30</v>
      </c>
      <c r="C91">
        <v>30.42</v>
      </c>
      <c r="D91">
        <v>5</v>
      </c>
      <c r="E91">
        <v>2</v>
      </c>
      <c r="F91">
        <v>7</v>
      </c>
      <c r="G91">
        <v>305.5</v>
      </c>
    </row>
    <row r="92" spans="1:7" x14ac:dyDescent="0.25">
      <c r="A92" s="2">
        <v>89</v>
      </c>
      <c r="B92">
        <v>30</v>
      </c>
      <c r="C92">
        <v>30.45</v>
      </c>
      <c r="D92">
        <v>3</v>
      </c>
      <c r="E92">
        <v>2</v>
      </c>
      <c r="F92">
        <v>5</v>
      </c>
      <c r="G92">
        <v>308</v>
      </c>
    </row>
    <row r="93" spans="1:7" x14ac:dyDescent="0.25">
      <c r="A93" s="2">
        <v>90</v>
      </c>
      <c r="B93">
        <v>30</v>
      </c>
      <c r="C93">
        <v>30.43</v>
      </c>
      <c r="D93">
        <v>2</v>
      </c>
      <c r="E93">
        <v>1</v>
      </c>
      <c r="F93">
        <v>3</v>
      </c>
      <c r="G93">
        <v>309.5</v>
      </c>
    </row>
    <row r="94" spans="1:7" x14ac:dyDescent="0.25">
      <c r="A94" s="2">
        <v>91</v>
      </c>
      <c r="B94">
        <v>30</v>
      </c>
      <c r="C94">
        <v>30.47</v>
      </c>
      <c r="D94">
        <v>6</v>
      </c>
      <c r="E94">
        <v>2</v>
      </c>
      <c r="F94">
        <v>8</v>
      </c>
      <c r="G94">
        <v>313.5</v>
      </c>
    </row>
    <row r="95" spans="1:7" x14ac:dyDescent="0.25">
      <c r="A95" s="2">
        <v>92</v>
      </c>
      <c r="B95">
        <v>30</v>
      </c>
      <c r="C95">
        <v>30.45</v>
      </c>
      <c r="D95">
        <v>4</v>
      </c>
      <c r="E95">
        <v>1</v>
      </c>
      <c r="F95">
        <v>5</v>
      </c>
      <c r="G95">
        <v>316</v>
      </c>
    </row>
    <row r="96" spans="1:7" x14ac:dyDescent="0.25">
      <c r="A96" s="2">
        <v>93</v>
      </c>
      <c r="B96">
        <v>30</v>
      </c>
      <c r="C96">
        <v>30.42</v>
      </c>
      <c r="D96">
        <v>10</v>
      </c>
      <c r="E96">
        <v>0</v>
      </c>
      <c r="F96">
        <v>10</v>
      </c>
      <c r="G96">
        <v>321</v>
      </c>
    </row>
    <row r="97" spans="1:7" x14ac:dyDescent="0.25">
      <c r="A97" s="2">
        <v>94</v>
      </c>
      <c r="B97">
        <v>30</v>
      </c>
      <c r="C97">
        <v>30.46</v>
      </c>
      <c r="D97">
        <v>6</v>
      </c>
      <c r="E97">
        <v>1</v>
      </c>
      <c r="F97">
        <v>7</v>
      </c>
      <c r="G97">
        <v>324.5</v>
      </c>
    </row>
    <row r="98" spans="1:7" x14ac:dyDescent="0.25">
      <c r="A98" s="2">
        <v>95</v>
      </c>
      <c r="B98">
        <v>30</v>
      </c>
      <c r="C98">
        <v>30.5</v>
      </c>
      <c r="D98">
        <v>2</v>
      </c>
      <c r="E98">
        <v>20</v>
      </c>
      <c r="F98">
        <v>22</v>
      </c>
      <c r="G98">
        <v>335.5</v>
      </c>
    </row>
    <row r="99" spans="1:7" x14ac:dyDescent="0.25">
      <c r="A99" s="2">
        <v>96</v>
      </c>
      <c r="B99">
        <v>30</v>
      </c>
      <c r="C99">
        <v>30.49</v>
      </c>
      <c r="D99">
        <v>7</v>
      </c>
      <c r="E99">
        <v>20</v>
      </c>
      <c r="F99">
        <v>27</v>
      </c>
      <c r="G99">
        <v>349</v>
      </c>
    </row>
    <row r="100" spans="1:7" x14ac:dyDescent="0.25">
      <c r="A100" s="2">
        <v>97</v>
      </c>
      <c r="B100">
        <v>30</v>
      </c>
      <c r="C100">
        <v>30.49</v>
      </c>
      <c r="D100">
        <v>9</v>
      </c>
      <c r="E100">
        <v>1</v>
      </c>
      <c r="F100">
        <v>10</v>
      </c>
      <c r="G100">
        <v>354</v>
      </c>
    </row>
    <row r="101" spans="1:7" x14ac:dyDescent="0.25">
      <c r="A101" s="2">
        <v>98</v>
      </c>
      <c r="B101">
        <v>30</v>
      </c>
      <c r="C101">
        <v>30.47</v>
      </c>
      <c r="D101">
        <v>8</v>
      </c>
      <c r="E101">
        <v>1</v>
      </c>
      <c r="F101">
        <v>9</v>
      </c>
      <c r="G101">
        <v>358.5</v>
      </c>
    </row>
    <row r="102" spans="1:7" x14ac:dyDescent="0.25">
      <c r="A102" s="2">
        <v>99</v>
      </c>
      <c r="B102">
        <v>30</v>
      </c>
      <c r="C102">
        <v>30.51</v>
      </c>
      <c r="D102">
        <v>1</v>
      </c>
      <c r="E102">
        <v>21</v>
      </c>
      <c r="F102">
        <v>22</v>
      </c>
      <c r="G102">
        <v>369.5</v>
      </c>
    </row>
    <row r="103" spans="1:7" x14ac:dyDescent="0.25">
      <c r="A103" s="2">
        <v>100</v>
      </c>
      <c r="B103">
        <v>30</v>
      </c>
      <c r="C103">
        <v>30.47</v>
      </c>
      <c r="D103">
        <v>10</v>
      </c>
      <c r="E103">
        <v>20</v>
      </c>
      <c r="F103">
        <v>30</v>
      </c>
      <c r="G103">
        <v>384.5</v>
      </c>
    </row>
    <row r="104" spans="1:7" x14ac:dyDescent="0.25">
      <c r="A104" s="2">
        <v>101</v>
      </c>
      <c r="B104">
        <v>30</v>
      </c>
      <c r="C104">
        <v>30.51</v>
      </c>
      <c r="D104">
        <v>4</v>
      </c>
      <c r="E104">
        <v>21</v>
      </c>
      <c r="F104">
        <v>25</v>
      </c>
      <c r="G104">
        <v>397</v>
      </c>
    </row>
    <row r="105" spans="1:7" x14ac:dyDescent="0.25">
      <c r="A105" s="2">
        <v>102</v>
      </c>
      <c r="B105">
        <v>30</v>
      </c>
      <c r="C105">
        <v>30.5</v>
      </c>
      <c r="D105">
        <v>6</v>
      </c>
      <c r="E105">
        <v>21</v>
      </c>
      <c r="F105">
        <v>27</v>
      </c>
      <c r="G105">
        <v>410.5</v>
      </c>
    </row>
    <row r="106" spans="1:7" x14ac:dyDescent="0.25">
      <c r="A106" s="2">
        <v>103</v>
      </c>
      <c r="B106">
        <v>30</v>
      </c>
      <c r="C106">
        <v>30.53</v>
      </c>
      <c r="D106">
        <v>2</v>
      </c>
      <c r="E106">
        <v>24</v>
      </c>
      <c r="F106">
        <v>26</v>
      </c>
      <c r="G106">
        <v>423.5</v>
      </c>
    </row>
    <row r="107" spans="1:7" x14ac:dyDescent="0.25">
      <c r="A107" s="2">
        <v>104</v>
      </c>
      <c r="B107">
        <v>30</v>
      </c>
      <c r="C107">
        <v>30.52</v>
      </c>
      <c r="D107">
        <v>3</v>
      </c>
      <c r="E107">
        <v>25</v>
      </c>
      <c r="F107">
        <v>28</v>
      </c>
      <c r="G107">
        <v>437.5</v>
      </c>
    </row>
    <row r="108" spans="1:7" x14ac:dyDescent="0.25">
      <c r="A108" s="2">
        <v>105</v>
      </c>
      <c r="B108">
        <v>30</v>
      </c>
      <c r="C108">
        <v>30.53</v>
      </c>
      <c r="D108">
        <v>5</v>
      </c>
      <c r="E108">
        <v>21</v>
      </c>
      <c r="F108">
        <v>26</v>
      </c>
      <c r="G108">
        <v>450.5</v>
      </c>
    </row>
    <row r="109" spans="1:7" x14ac:dyDescent="0.25">
      <c r="A109" s="2">
        <v>106</v>
      </c>
      <c r="B109">
        <v>30</v>
      </c>
      <c r="C109">
        <v>30.51</v>
      </c>
      <c r="D109">
        <v>10</v>
      </c>
      <c r="E109">
        <v>28</v>
      </c>
      <c r="F109">
        <v>38</v>
      </c>
      <c r="G109">
        <v>469.5</v>
      </c>
    </row>
    <row r="110" spans="1:7" x14ac:dyDescent="0.25">
      <c r="A110" s="2">
        <v>107</v>
      </c>
      <c r="B110">
        <v>30</v>
      </c>
      <c r="C110">
        <v>30.51</v>
      </c>
      <c r="D110">
        <v>9</v>
      </c>
      <c r="E110">
        <v>25</v>
      </c>
      <c r="F110">
        <v>34</v>
      </c>
      <c r="G110">
        <v>486.5</v>
      </c>
    </row>
    <row r="111" spans="1:7" x14ac:dyDescent="0.25">
      <c r="A111" s="2">
        <v>108</v>
      </c>
      <c r="B111">
        <v>30</v>
      </c>
      <c r="C111">
        <v>30.53</v>
      </c>
      <c r="D111">
        <v>10</v>
      </c>
      <c r="E111">
        <v>31</v>
      </c>
      <c r="F111">
        <v>41</v>
      </c>
      <c r="G111">
        <v>507</v>
      </c>
    </row>
    <row r="112" spans="1:7" x14ac:dyDescent="0.25">
      <c r="A112" s="2">
        <v>109</v>
      </c>
      <c r="B112">
        <v>30</v>
      </c>
      <c r="C112">
        <v>30.54</v>
      </c>
      <c r="D112">
        <v>8</v>
      </c>
      <c r="E112">
        <v>32</v>
      </c>
      <c r="F112">
        <v>40</v>
      </c>
      <c r="G112">
        <v>527</v>
      </c>
    </row>
    <row r="113" spans="1:7" x14ac:dyDescent="0.25">
      <c r="A113" s="2">
        <v>110</v>
      </c>
      <c r="B113">
        <v>30</v>
      </c>
      <c r="C113">
        <v>30.52</v>
      </c>
      <c r="D113">
        <v>6</v>
      </c>
      <c r="E113">
        <v>34</v>
      </c>
      <c r="F113">
        <v>40</v>
      </c>
      <c r="G113">
        <v>547</v>
      </c>
    </row>
    <row r="114" spans="1:7" x14ac:dyDescent="0.25">
      <c r="A114" s="2">
        <v>111</v>
      </c>
      <c r="B114">
        <v>30</v>
      </c>
      <c r="C114">
        <v>30.57</v>
      </c>
      <c r="D114">
        <v>5</v>
      </c>
      <c r="E114">
        <v>36</v>
      </c>
      <c r="F114">
        <v>41</v>
      </c>
      <c r="G114">
        <v>567.5</v>
      </c>
    </row>
    <row r="115" spans="1:7" x14ac:dyDescent="0.25">
      <c r="A115" s="2">
        <v>112</v>
      </c>
      <c r="B115">
        <v>30</v>
      </c>
      <c r="C115">
        <v>30.57</v>
      </c>
      <c r="D115">
        <v>5</v>
      </c>
      <c r="E115">
        <v>32</v>
      </c>
      <c r="F115">
        <v>37</v>
      </c>
      <c r="G115">
        <v>586</v>
      </c>
    </row>
    <row r="116" spans="1:7" x14ac:dyDescent="0.25">
      <c r="A116" s="2">
        <v>113</v>
      </c>
      <c r="B116">
        <v>30</v>
      </c>
      <c r="C116">
        <v>30.59</v>
      </c>
      <c r="D116">
        <v>3</v>
      </c>
      <c r="E116">
        <v>40</v>
      </c>
      <c r="F116">
        <v>43</v>
      </c>
      <c r="G116">
        <v>607.5</v>
      </c>
    </row>
    <row r="117" spans="1:7" x14ac:dyDescent="0.25">
      <c r="A117" s="2">
        <v>114</v>
      </c>
      <c r="B117">
        <v>30</v>
      </c>
      <c r="C117">
        <v>30.59</v>
      </c>
      <c r="D117">
        <v>6</v>
      </c>
      <c r="E117">
        <v>35</v>
      </c>
      <c r="F117">
        <v>41</v>
      </c>
      <c r="G117">
        <v>628</v>
      </c>
    </row>
    <row r="118" spans="1:7" x14ac:dyDescent="0.25">
      <c r="A118" s="2">
        <v>115</v>
      </c>
      <c r="B118">
        <v>30</v>
      </c>
      <c r="C118">
        <v>30.61</v>
      </c>
      <c r="D118">
        <v>3</v>
      </c>
      <c r="E118">
        <v>44</v>
      </c>
      <c r="F118">
        <v>47</v>
      </c>
      <c r="G118">
        <v>651.5</v>
      </c>
    </row>
    <row r="119" spans="1:7" x14ac:dyDescent="0.25">
      <c r="A119" s="2">
        <v>116</v>
      </c>
      <c r="B119">
        <v>30</v>
      </c>
      <c r="C119">
        <v>30.56</v>
      </c>
      <c r="D119">
        <v>8</v>
      </c>
      <c r="E119">
        <v>33</v>
      </c>
      <c r="F119">
        <v>41</v>
      </c>
      <c r="G119">
        <v>672</v>
      </c>
    </row>
    <row r="120" spans="1:7" x14ac:dyDescent="0.25">
      <c r="A120" s="2">
        <v>117</v>
      </c>
      <c r="B120">
        <v>30</v>
      </c>
      <c r="C120">
        <v>30.58</v>
      </c>
      <c r="D120">
        <v>4</v>
      </c>
      <c r="E120">
        <v>49</v>
      </c>
      <c r="F120">
        <v>53</v>
      </c>
      <c r="G120">
        <v>698.5</v>
      </c>
    </row>
    <row r="121" spans="1:7" x14ac:dyDescent="0.25">
      <c r="A121" s="2">
        <v>118</v>
      </c>
      <c r="B121">
        <v>30</v>
      </c>
      <c r="C121">
        <v>30.62</v>
      </c>
      <c r="D121">
        <v>8</v>
      </c>
      <c r="E121">
        <v>52</v>
      </c>
      <c r="F121">
        <v>60</v>
      </c>
      <c r="G121">
        <v>728.5</v>
      </c>
    </row>
    <row r="122" spans="1:7" x14ac:dyDescent="0.25">
      <c r="A122" s="2">
        <v>119</v>
      </c>
      <c r="B122">
        <v>30</v>
      </c>
      <c r="C122">
        <v>30.57</v>
      </c>
      <c r="D122">
        <v>8</v>
      </c>
      <c r="E122">
        <v>46</v>
      </c>
      <c r="F122">
        <v>54</v>
      </c>
      <c r="G122">
        <v>755.5</v>
      </c>
    </row>
    <row r="123" spans="1:7" x14ac:dyDescent="0.25">
      <c r="A123" s="2">
        <v>120</v>
      </c>
      <c r="B123">
        <v>30</v>
      </c>
      <c r="C123">
        <v>30.57</v>
      </c>
      <c r="D123">
        <v>5</v>
      </c>
      <c r="E123">
        <v>40</v>
      </c>
      <c r="F123">
        <v>45</v>
      </c>
      <c r="G123">
        <v>778</v>
      </c>
    </row>
    <row r="124" spans="1:7" x14ac:dyDescent="0.25">
      <c r="A124" s="2">
        <v>121</v>
      </c>
      <c r="B124">
        <v>30</v>
      </c>
      <c r="C124">
        <v>30.62</v>
      </c>
      <c r="D124">
        <v>0</v>
      </c>
      <c r="E124">
        <v>60</v>
      </c>
      <c r="F124">
        <v>60</v>
      </c>
      <c r="G124">
        <v>808</v>
      </c>
    </row>
    <row r="125" spans="1:7" x14ac:dyDescent="0.25">
      <c r="A125" s="2">
        <v>122</v>
      </c>
      <c r="B125">
        <v>30</v>
      </c>
      <c r="C125">
        <v>30.62</v>
      </c>
      <c r="D125">
        <v>1</v>
      </c>
      <c r="E125">
        <v>63</v>
      </c>
      <c r="F125">
        <v>64</v>
      </c>
      <c r="G125">
        <v>840</v>
      </c>
    </row>
    <row r="126" spans="1:7" x14ac:dyDescent="0.25">
      <c r="A126" s="2">
        <v>123</v>
      </c>
      <c r="B126">
        <v>30</v>
      </c>
      <c r="C126">
        <v>30.62</v>
      </c>
      <c r="D126">
        <v>6</v>
      </c>
      <c r="E126">
        <v>56</v>
      </c>
      <c r="F126">
        <v>62</v>
      </c>
      <c r="G126">
        <v>871</v>
      </c>
    </row>
    <row r="127" spans="1:7" x14ac:dyDescent="0.25">
      <c r="A127" s="2">
        <v>124</v>
      </c>
      <c r="B127">
        <v>30</v>
      </c>
      <c r="C127">
        <v>30.6</v>
      </c>
      <c r="D127">
        <v>5</v>
      </c>
      <c r="E127">
        <v>70</v>
      </c>
      <c r="F127">
        <v>75</v>
      </c>
      <c r="G127">
        <v>908.5</v>
      </c>
    </row>
    <row r="128" spans="1:7" x14ac:dyDescent="0.25">
      <c r="A128" s="2">
        <v>125</v>
      </c>
      <c r="B128">
        <v>30</v>
      </c>
      <c r="C128">
        <v>30.63</v>
      </c>
      <c r="D128">
        <v>6</v>
      </c>
      <c r="E128">
        <v>62</v>
      </c>
      <c r="F128">
        <v>68</v>
      </c>
      <c r="G128">
        <v>942.5</v>
      </c>
    </row>
    <row r="129" spans="1:7" x14ac:dyDescent="0.25">
      <c r="A129" s="2">
        <v>126</v>
      </c>
      <c r="B129">
        <v>30</v>
      </c>
      <c r="C129">
        <v>30.62</v>
      </c>
      <c r="D129">
        <v>4</v>
      </c>
      <c r="E129">
        <v>76</v>
      </c>
      <c r="F129">
        <v>80</v>
      </c>
      <c r="G129">
        <v>982.5</v>
      </c>
    </row>
    <row r="130" spans="1:7" x14ac:dyDescent="0.25">
      <c r="A130" s="2">
        <v>127</v>
      </c>
      <c r="B130">
        <v>30</v>
      </c>
      <c r="C130">
        <v>30.64</v>
      </c>
      <c r="D130">
        <v>8</v>
      </c>
      <c r="E130">
        <v>58</v>
      </c>
      <c r="F130">
        <v>66</v>
      </c>
      <c r="G130">
        <v>1015.5</v>
      </c>
    </row>
    <row r="131" spans="1:7" x14ac:dyDescent="0.25">
      <c r="A131" s="2">
        <v>128</v>
      </c>
      <c r="B131">
        <v>30</v>
      </c>
      <c r="C131">
        <v>30.65</v>
      </c>
      <c r="D131">
        <v>8</v>
      </c>
      <c r="E131">
        <v>61</v>
      </c>
      <c r="F131">
        <v>69</v>
      </c>
      <c r="G131">
        <v>1050</v>
      </c>
    </row>
    <row r="132" spans="1:7" x14ac:dyDescent="0.25">
      <c r="A132" s="2">
        <v>129</v>
      </c>
      <c r="B132">
        <v>30</v>
      </c>
      <c r="C132">
        <v>30.65</v>
      </c>
      <c r="D132">
        <v>6</v>
      </c>
      <c r="E132">
        <v>64</v>
      </c>
      <c r="F132">
        <v>70</v>
      </c>
      <c r="G132">
        <v>1085</v>
      </c>
    </row>
    <row r="133" spans="1:7" x14ac:dyDescent="0.25">
      <c r="A133" s="2">
        <v>130</v>
      </c>
      <c r="B133">
        <v>30</v>
      </c>
      <c r="C133">
        <v>30.64</v>
      </c>
      <c r="D133">
        <v>6</v>
      </c>
      <c r="E133">
        <v>92</v>
      </c>
      <c r="F133">
        <v>98</v>
      </c>
      <c r="G133">
        <v>1134</v>
      </c>
    </row>
    <row r="134" spans="1:7" x14ac:dyDescent="0.25">
      <c r="A134" s="2">
        <v>131</v>
      </c>
      <c r="B134">
        <v>30</v>
      </c>
      <c r="C134">
        <v>30.04</v>
      </c>
      <c r="D134">
        <v>8</v>
      </c>
      <c r="E134">
        <v>2</v>
      </c>
      <c r="F134">
        <v>10</v>
      </c>
      <c r="G134">
        <v>5</v>
      </c>
    </row>
    <row r="135" spans="1:7" x14ac:dyDescent="0.25">
      <c r="A135" s="2">
        <v>132</v>
      </c>
      <c r="B135">
        <v>30</v>
      </c>
      <c r="C135">
        <v>30</v>
      </c>
      <c r="D135">
        <v>1</v>
      </c>
      <c r="E135">
        <v>2</v>
      </c>
      <c r="F135">
        <v>3</v>
      </c>
      <c r="G135">
        <v>6.5</v>
      </c>
    </row>
    <row r="136" spans="1:7" x14ac:dyDescent="0.25">
      <c r="A136" s="2">
        <v>133</v>
      </c>
      <c r="B136">
        <v>30</v>
      </c>
      <c r="C136">
        <v>30.04</v>
      </c>
      <c r="D136">
        <v>10</v>
      </c>
      <c r="E136">
        <v>0</v>
      </c>
      <c r="F136">
        <v>10</v>
      </c>
      <c r="G136">
        <v>11.5</v>
      </c>
    </row>
    <row r="137" spans="1:7" x14ac:dyDescent="0.25">
      <c r="A137" s="2">
        <v>134</v>
      </c>
      <c r="B137">
        <v>30</v>
      </c>
      <c r="C137">
        <v>30.05</v>
      </c>
      <c r="D137">
        <v>2</v>
      </c>
      <c r="E137">
        <v>0</v>
      </c>
      <c r="F137">
        <v>2</v>
      </c>
      <c r="G137">
        <v>12.5</v>
      </c>
    </row>
    <row r="138" spans="1:7" x14ac:dyDescent="0.25">
      <c r="A138" s="2">
        <v>135</v>
      </c>
      <c r="B138">
        <v>30</v>
      </c>
      <c r="C138">
        <v>30.04</v>
      </c>
      <c r="D138">
        <v>4</v>
      </c>
      <c r="E138">
        <v>0</v>
      </c>
      <c r="F138">
        <v>4</v>
      </c>
      <c r="G138">
        <v>14.5</v>
      </c>
    </row>
    <row r="139" spans="1:7" x14ac:dyDescent="0.25">
      <c r="A139" s="2">
        <v>136</v>
      </c>
      <c r="B139">
        <v>30</v>
      </c>
      <c r="C139">
        <v>30.05</v>
      </c>
      <c r="D139">
        <v>9</v>
      </c>
      <c r="E139">
        <v>2</v>
      </c>
      <c r="F139">
        <v>11</v>
      </c>
      <c r="G139">
        <v>20</v>
      </c>
    </row>
    <row r="140" spans="1:7" x14ac:dyDescent="0.25">
      <c r="A140" s="2">
        <v>137</v>
      </c>
      <c r="B140">
        <v>30</v>
      </c>
      <c r="C140">
        <v>30.05</v>
      </c>
      <c r="D140">
        <v>5</v>
      </c>
      <c r="E140">
        <v>1</v>
      </c>
      <c r="F140">
        <v>6</v>
      </c>
      <c r="G140">
        <v>23</v>
      </c>
    </row>
    <row r="141" spans="1:7" x14ac:dyDescent="0.25">
      <c r="A141" s="2">
        <v>138</v>
      </c>
      <c r="B141">
        <v>30</v>
      </c>
      <c r="C141">
        <v>30.06</v>
      </c>
      <c r="D141">
        <v>4</v>
      </c>
      <c r="E141">
        <v>1</v>
      </c>
      <c r="F141">
        <v>5</v>
      </c>
      <c r="G141">
        <v>25.5</v>
      </c>
    </row>
    <row r="142" spans="1:7" x14ac:dyDescent="0.25">
      <c r="A142" s="2">
        <v>139</v>
      </c>
      <c r="B142">
        <v>30</v>
      </c>
      <c r="C142">
        <v>30.06</v>
      </c>
      <c r="D142">
        <v>10</v>
      </c>
      <c r="E142">
        <v>1</v>
      </c>
      <c r="F142">
        <v>11</v>
      </c>
      <c r="G142">
        <v>31</v>
      </c>
    </row>
    <row r="143" spans="1:7" x14ac:dyDescent="0.25">
      <c r="A143" s="2">
        <v>140</v>
      </c>
      <c r="B143">
        <v>30</v>
      </c>
      <c r="C143">
        <v>30.05</v>
      </c>
      <c r="D143">
        <v>9</v>
      </c>
      <c r="E143">
        <v>2</v>
      </c>
      <c r="F143">
        <v>11</v>
      </c>
      <c r="G143">
        <v>36.5</v>
      </c>
    </row>
    <row r="144" spans="1:7" x14ac:dyDescent="0.25">
      <c r="A144" s="2">
        <v>141</v>
      </c>
      <c r="B144">
        <v>30</v>
      </c>
      <c r="C144">
        <v>30.09</v>
      </c>
      <c r="D144">
        <v>8</v>
      </c>
      <c r="E144">
        <v>1</v>
      </c>
      <c r="F144">
        <v>9</v>
      </c>
      <c r="G144">
        <v>41</v>
      </c>
    </row>
    <row r="145" spans="1:7" x14ac:dyDescent="0.25">
      <c r="A145" s="2">
        <v>142</v>
      </c>
      <c r="B145">
        <v>30</v>
      </c>
      <c r="C145">
        <v>30.05</v>
      </c>
      <c r="D145">
        <v>10</v>
      </c>
      <c r="E145">
        <v>2</v>
      </c>
      <c r="F145">
        <v>12</v>
      </c>
      <c r="G145">
        <v>47</v>
      </c>
    </row>
    <row r="146" spans="1:7" x14ac:dyDescent="0.25">
      <c r="A146" s="2">
        <v>143</v>
      </c>
      <c r="B146">
        <v>30</v>
      </c>
      <c r="C146">
        <v>30.04</v>
      </c>
      <c r="D146">
        <v>1</v>
      </c>
      <c r="E146">
        <v>1</v>
      </c>
      <c r="F146">
        <v>2</v>
      </c>
      <c r="G146">
        <v>48</v>
      </c>
    </row>
    <row r="147" spans="1:7" x14ac:dyDescent="0.25">
      <c r="A147" s="2">
        <v>144</v>
      </c>
      <c r="B147">
        <v>30</v>
      </c>
      <c r="C147">
        <v>30.1</v>
      </c>
      <c r="D147">
        <v>5</v>
      </c>
      <c r="E147">
        <v>2</v>
      </c>
      <c r="F147">
        <v>7</v>
      </c>
      <c r="G147">
        <v>51.5</v>
      </c>
    </row>
    <row r="148" spans="1:7" x14ac:dyDescent="0.25">
      <c r="A148" s="2">
        <v>145</v>
      </c>
      <c r="B148">
        <v>30</v>
      </c>
      <c r="C148">
        <v>30.07</v>
      </c>
      <c r="D148">
        <v>3</v>
      </c>
      <c r="E148">
        <v>1</v>
      </c>
      <c r="F148">
        <v>4</v>
      </c>
      <c r="G148">
        <v>53.5</v>
      </c>
    </row>
    <row r="149" spans="1:7" x14ac:dyDescent="0.25">
      <c r="A149" s="2">
        <v>146</v>
      </c>
      <c r="B149">
        <v>30</v>
      </c>
      <c r="C149">
        <v>30.08</v>
      </c>
      <c r="D149">
        <v>4</v>
      </c>
      <c r="E149">
        <v>2</v>
      </c>
      <c r="F149">
        <v>6</v>
      </c>
      <c r="G149">
        <v>56.5</v>
      </c>
    </row>
    <row r="150" spans="1:7" x14ac:dyDescent="0.25">
      <c r="A150" s="2">
        <v>147</v>
      </c>
      <c r="B150">
        <v>30</v>
      </c>
      <c r="C150">
        <v>30.1</v>
      </c>
      <c r="D150">
        <v>5</v>
      </c>
      <c r="E150">
        <v>2</v>
      </c>
      <c r="F150">
        <v>7</v>
      </c>
      <c r="G150">
        <v>60</v>
      </c>
    </row>
    <row r="151" spans="1:7" x14ac:dyDescent="0.25">
      <c r="A151" s="2">
        <v>148</v>
      </c>
      <c r="B151">
        <v>30</v>
      </c>
      <c r="C151">
        <v>30.06</v>
      </c>
      <c r="D151">
        <v>2</v>
      </c>
      <c r="E151">
        <v>2</v>
      </c>
      <c r="F151">
        <v>4</v>
      </c>
      <c r="G151">
        <v>62</v>
      </c>
    </row>
    <row r="152" spans="1:7" x14ac:dyDescent="0.25">
      <c r="A152" s="2">
        <v>149</v>
      </c>
      <c r="B152">
        <v>30</v>
      </c>
      <c r="C152">
        <v>30.11</v>
      </c>
      <c r="D152">
        <v>4</v>
      </c>
      <c r="E152">
        <v>0</v>
      </c>
      <c r="F152">
        <v>4</v>
      </c>
      <c r="G152">
        <v>64</v>
      </c>
    </row>
    <row r="153" spans="1:7" x14ac:dyDescent="0.25">
      <c r="A153" s="2">
        <v>150</v>
      </c>
      <c r="B153">
        <v>30</v>
      </c>
      <c r="C153">
        <v>30.13</v>
      </c>
      <c r="D153">
        <v>3</v>
      </c>
      <c r="E153">
        <v>1</v>
      </c>
      <c r="F153">
        <v>4</v>
      </c>
      <c r="G153">
        <v>66</v>
      </c>
    </row>
    <row r="154" spans="1:7" x14ac:dyDescent="0.25">
      <c r="A154" s="2">
        <v>151</v>
      </c>
      <c r="B154">
        <v>30</v>
      </c>
      <c r="C154">
        <v>30.12</v>
      </c>
      <c r="D154">
        <v>4</v>
      </c>
      <c r="E154">
        <v>1</v>
      </c>
      <c r="F154">
        <v>5</v>
      </c>
      <c r="G154">
        <v>68.5</v>
      </c>
    </row>
    <row r="155" spans="1:7" x14ac:dyDescent="0.25">
      <c r="A155" s="2">
        <v>152</v>
      </c>
      <c r="B155">
        <v>30</v>
      </c>
      <c r="C155">
        <v>30.09</v>
      </c>
      <c r="D155">
        <v>10</v>
      </c>
      <c r="E155">
        <v>2</v>
      </c>
      <c r="F155">
        <v>12</v>
      </c>
      <c r="G155">
        <v>74.5</v>
      </c>
    </row>
    <row r="156" spans="1:7" x14ac:dyDescent="0.25">
      <c r="A156" s="2">
        <v>153</v>
      </c>
      <c r="B156">
        <v>30</v>
      </c>
      <c r="C156">
        <v>30.09</v>
      </c>
      <c r="D156">
        <v>3</v>
      </c>
      <c r="E156">
        <v>2</v>
      </c>
      <c r="F156">
        <v>5</v>
      </c>
      <c r="G156">
        <v>77</v>
      </c>
    </row>
    <row r="157" spans="1:7" x14ac:dyDescent="0.25">
      <c r="A157" s="2">
        <v>154</v>
      </c>
      <c r="B157">
        <v>30</v>
      </c>
      <c r="C157">
        <v>30.15</v>
      </c>
      <c r="D157">
        <v>6</v>
      </c>
      <c r="E157">
        <v>1</v>
      </c>
      <c r="F157">
        <v>7</v>
      </c>
      <c r="G157">
        <v>80.5</v>
      </c>
    </row>
    <row r="158" spans="1:7" x14ac:dyDescent="0.25">
      <c r="A158" s="2">
        <v>155</v>
      </c>
      <c r="B158">
        <v>30</v>
      </c>
      <c r="C158">
        <v>30.14</v>
      </c>
      <c r="D158">
        <v>9</v>
      </c>
      <c r="E158">
        <v>0</v>
      </c>
      <c r="F158">
        <v>9</v>
      </c>
      <c r="G158">
        <v>85</v>
      </c>
    </row>
    <row r="159" spans="1:7" x14ac:dyDescent="0.25">
      <c r="A159" s="2">
        <v>156</v>
      </c>
      <c r="B159">
        <v>30</v>
      </c>
      <c r="C159">
        <v>30.14</v>
      </c>
      <c r="D159">
        <v>9</v>
      </c>
      <c r="E159">
        <v>2</v>
      </c>
      <c r="F159">
        <v>11</v>
      </c>
      <c r="G159">
        <v>90.5</v>
      </c>
    </row>
    <row r="160" spans="1:7" x14ac:dyDescent="0.25">
      <c r="A160" s="2">
        <v>157</v>
      </c>
      <c r="B160">
        <v>30</v>
      </c>
      <c r="C160">
        <v>30.14</v>
      </c>
      <c r="D160">
        <v>2</v>
      </c>
      <c r="E160">
        <v>2</v>
      </c>
      <c r="F160">
        <v>4</v>
      </c>
      <c r="G160">
        <v>92.5</v>
      </c>
    </row>
    <row r="161" spans="1:7" x14ac:dyDescent="0.25">
      <c r="A161" s="2">
        <v>158</v>
      </c>
      <c r="B161">
        <v>30</v>
      </c>
      <c r="C161">
        <v>30.17</v>
      </c>
      <c r="D161">
        <v>3</v>
      </c>
      <c r="E161">
        <v>1</v>
      </c>
      <c r="F161">
        <v>4</v>
      </c>
      <c r="G161">
        <v>94.5</v>
      </c>
    </row>
    <row r="162" spans="1:7" x14ac:dyDescent="0.25">
      <c r="A162" s="2">
        <v>159</v>
      </c>
      <c r="B162">
        <v>30</v>
      </c>
      <c r="C162">
        <v>30.14</v>
      </c>
      <c r="D162">
        <v>8</v>
      </c>
      <c r="E162">
        <v>1</v>
      </c>
      <c r="F162">
        <v>9</v>
      </c>
      <c r="G162">
        <v>99</v>
      </c>
    </row>
    <row r="163" spans="1:7" x14ac:dyDescent="0.25">
      <c r="A163" s="2">
        <v>160</v>
      </c>
      <c r="B163">
        <v>30</v>
      </c>
      <c r="C163">
        <v>30.16</v>
      </c>
      <c r="D163">
        <v>2</v>
      </c>
      <c r="E163">
        <v>2</v>
      </c>
      <c r="F163">
        <v>4</v>
      </c>
      <c r="G163">
        <v>101</v>
      </c>
    </row>
    <row r="164" spans="1:7" x14ac:dyDescent="0.25">
      <c r="A164" s="2">
        <v>161</v>
      </c>
      <c r="B164">
        <v>30</v>
      </c>
      <c r="C164">
        <v>30.15</v>
      </c>
      <c r="D164">
        <v>9</v>
      </c>
      <c r="E164">
        <v>0</v>
      </c>
      <c r="F164">
        <v>9</v>
      </c>
      <c r="G164">
        <v>105.5</v>
      </c>
    </row>
    <row r="165" spans="1:7" x14ac:dyDescent="0.25">
      <c r="A165" s="2">
        <v>162</v>
      </c>
      <c r="B165">
        <v>30</v>
      </c>
      <c r="C165">
        <v>30.17</v>
      </c>
      <c r="D165">
        <v>10</v>
      </c>
      <c r="E165">
        <v>1</v>
      </c>
      <c r="F165">
        <v>11</v>
      </c>
      <c r="G165">
        <v>111</v>
      </c>
    </row>
    <row r="166" spans="1:7" x14ac:dyDescent="0.25">
      <c r="A166" s="2">
        <v>163</v>
      </c>
      <c r="B166">
        <v>30</v>
      </c>
      <c r="C166">
        <v>30.14</v>
      </c>
      <c r="D166">
        <v>10</v>
      </c>
      <c r="E166">
        <v>2</v>
      </c>
      <c r="F166">
        <v>12</v>
      </c>
      <c r="G166">
        <v>117</v>
      </c>
    </row>
    <row r="167" spans="1:7" x14ac:dyDescent="0.25">
      <c r="A167" s="2">
        <v>164</v>
      </c>
      <c r="B167">
        <v>30</v>
      </c>
      <c r="C167">
        <v>30.15</v>
      </c>
      <c r="D167">
        <v>7</v>
      </c>
      <c r="E167">
        <v>0</v>
      </c>
      <c r="F167">
        <v>7</v>
      </c>
      <c r="G167">
        <v>120.5</v>
      </c>
    </row>
    <row r="168" spans="1:7" x14ac:dyDescent="0.25">
      <c r="A168" s="2">
        <v>165</v>
      </c>
      <c r="B168">
        <v>30</v>
      </c>
      <c r="C168">
        <v>30.21</v>
      </c>
      <c r="D168">
        <v>3</v>
      </c>
      <c r="E168">
        <v>0</v>
      </c>
      <c r="F168">
        <v>3</v>
      </c>
      <c r="G168">
        <v>122</v>
      </c>
    </row>
    <row r="169" spans="1:7" x14ac:dyDescent="0.25">
      <c r="A169" s="2">
        <v>166</v>
      </c>
      <c r="B169">
        <v>30</v>
      </c>
      <c r="C169">
        <v>30.19</v>
      </c>
      <c r="D169">
        <v>7</v>
      </c>
      <c r="E169">
        <v>0</v>
      </c>
      <c r="F169">
        <v>7</v>
      </c>
      <c r="G169">
        <v>125.5</v>
      </c>
    </row>
    <row r="170" spans="1:7" x14ac:dyDescent="0.25">
      <c r="A170" s="2">
        <v>167</v>
      </c>
      <c r="B170">
        <v>30</v>
      </c>
      <c r="C170">
        <v>30.19</v>
      </c>
      <c r="D170">
        <v>4</v>
      </c>
      <c r="E170">
        <v>1</v>
      </c>
      <c r="F170">
        <v>5</v>
      </c>
      <c r="G170">
        <v>128</v>
      </c>
    </row>
    <row r="171" spans="1:7" x14ac:dyDescent="0.25">
      <c r="A171" s="2">
        <v>168</v>
      </c>
      <c r="B171">
        <v>30</v>
      </c>
      <c r="C171">
        <v>30.18</v>
      </c>
      <c r="D171">
        <v>1</v>
      </c>
      <c r="E171">
        <v>0</v>
      </c>
      <c r="F171">
        <v>1</v>
      </c>
      <c r="G171">
        <v>128.5</v>
      </c>
    </row>
    <row r="172" spans="1:7" x14ac:dyDescent="0.25">
      <c r="A172" s="2">
        <v>169</v>
      </c>
      <c r="B172">
        <v>30</v>
      </c>
      <c r="C172">
        <v>30.21</v>
      </c>
      <c r="D172">
        <v>6</v>
      </c>
      <c r="E172">
        <v>2</v>
      </c>
      <c r="F172">
        <v>8</v>
      </c>
      <c r="G172">
        <v>132.5</v>
      </c>
    </row>
    <row r="173" spans="1:7" x14ac:dyDescent="0.25">
      <c r="A173" s="2">
        <v>170</v>
      </c>
      <c r="B173">
        <v>30</v>
      </c>
      <c r="C173">
        <v>30.22</v>
      </c>
      <c r="D173">
        <v>3</v>
      </c>
      <c r="E173">
        <v>0</v>
      </c>
      <c r="F173">
        <v>3</v>
      </c>
      <c r="G173">
        <v>134</v>
      </c>
    </row>
    <row r="174" spans="1:7" x14ac:dyDescent="0.25">
      <c r="A174" s="2">
        <v>171</v>
      </c>
      <c r="B174">
        <v>30</v>
      </c>
      <c r="C174">
        <v>30.21</v>
      </c>
      <c r="D174">
        <v>7</v>
      </c>
      <c r="E174">
        <v>0</v>
      </c>
      <c r="F174">
        <v>7</v>
      </c>
      <c r="G174">
        <v>137.5</v>
      </c>
    </row>
    <row r="175" spans="1:7" x14ac:dyDescent="0.25">
      <c r="A175" s="2">
        <v>172</v>
      </c>
      <c r="B175">
        <v>30</v>
      </c>
      <c r="C175">
        <v>30.21</v>
      </c>
      <c r="D175">
        <v>4</v>
      </c>
      <c r="E175">
        <v>1</v>
      </c>
      <c r="F175">
        <v>5</v>
      </c>
      <c r="G175">
        <v>140</v>
      </c>
    </row>
    <row r="176" spans="1:7" x14ac:dyDescent="0.25">
      <c r="A176" s="2">
        <v>173</v>
      </c>
      <c r="B176">
        <v>30</v>
      </c>
      <c r="C176">
        <v>30.22</v>
      </c>
      <c r="D176">
        <v>3</v>
      </c>
      <c r="E176">
        <v>1</v>
      </c>
      <c r="F176">
        <v>4</v>
      </c>
      <c r="G176">
        <v>142</v>
      </c>
    </row>
    <row r="177" spans="1:7" x14ac:dyDescent="0.25">
      <c r="A177" s="2">
        <v>174</v>
      </c>
      <c r="B177">
        <v>30</v>
      </c>
      <c r="C177">
        <v>30.23</v>
      </c>
      <c r="D177">
        <v>2</v>
      </c>
      <c r="E177">
        <v>1</v>
      </c>
      <c r="F177">
        <v>3</v>
      </c>
      <c r="G177">
        <v>143.5</v>
      </c>
    </row>
    <row r="178" spans="1:7" x14ac:dyDescent="0.25">
      <c r="A178" s="2">
        <v>175</v>
      </c>
      <c r="B178">
        <v>30</v>
      </c>
      <c r="C178">
        <v>30.23</v>
      </c>
      <c r="D178">
        <v>5</v>
      </c>
      <c r="E178">
        <v>2</v>
      </c>
      <c r="F178">
        <v>7</v>
      </c>
      <c r="G178">
        <v>147</v>
      </c>
    </row>
    <row r="179" spans="1:7" x14ac:dyDescent="0.25">
      <c r="A179" s="2">
        <v>176</v>
      </c>
      <c r="B179">
        <v>30</v>
      </c>
      <c r="C179">
        <v>30.25</v>
      </c>
      <c r="D179">
        <v>4</v>
      </c>
      <c r="E179">
        <v>1</v>
      </c>
      <c r="F179">
        <v>5</v>
      </c>
      <c r="G179">
        <v>149.5</v>
      </c>
    </row>
    <row r="180" spans="1:7" x14ac:dyDescent="0.25">
      <c r="A180" s="2">
        <v>177</v>
      </c>
      <c r="B180">
        <v>30</v>
      </c>
      <c r="C180">
        <v>30.25</v>
      </c>
      <c r="D180">
        <v>12</v>
      </c>
      <c r="E180">
        <v>1</v>
      </c>
      <c r="F180">
        <v>13</v>
      </c>
      <c r="G180">
        <v>156</v>
      </c>
    </row>
    <row r="181" spans="1:7" x14ac:dyDescent="0.25">
      <c r="A181" s="2">
        <v>178</v>
      </c>
      <c r="B181">
        <v>30</v>
      </c>
      <c r="C181">
        <v>30.24</v>
      </c>
      <c r="D181">
        <v>23</v>
      </c>
      <c r="E181">
        <v>0</v>
      </c>
      <c r="F181">
        <v>23</v>
      </c>
      <c r="G181">
        <v>167.5</v>
      </c>
    </row>
    <row r="182" spans="1:7" x14ac:dyDescent="0.25">
      <c r="A182" s="2">
        <v>179</v>
      </c>
      <c r="B182">
        <v>30</v>
      </c>
      <c r="C182">
        <v>30.25</v>
      </c>
      <c r="D182">
        <v>14</v>
      </c>
      <c r="E182">
        <v>2</v>
      </c>
      <c r="F182">
        <v>16</v>
      </c>
      <c r="G182">
        <v>175.5</v>
      </c>
    </row>
    <row r="183" spans="1:7" x14ac:dyDescent="0.25">
      <c r="A183" s="2">
        <v>180</v>
      </c>
      <c r="B183">
        <v>30</v>
      </c>
      <c r="C183">
        <v>30.26</v>
      </c>
      <c r="D183">
        <v>6</v>
      </c>
      <c r="E183">
        <v>2</v>
      </c>
      <c r="F183">
        <v>8</v>
      </c>
      <c r="G183">
        <v>179.5</v>
      </c>
    </row>
    <row r="184" spans="1:7" x14ac:dyDescent="0.25">
      <c r="A184" s="2">
        <v>181</v>
      </c>
      <c r="B184">
        <v>30</v>
      </c>
      <c r="C184">
        <v>30.26</v>
      </c>
      <c r="D184">
        <v>7</v>
      </c>
      <c r="E184">
        <v>1</v>
      </c>
      <c r="F184">
        <v>8</v>
      </c>
      <c r="G184">
        <v>183.5</v>
      </c>
    </row>
    <row r="185" spans="1:7" x14ac:dyDescent="0.25">
      <c r="A185" s="2">
        <v>182</v>
      </c>
      <c r="B185">
        <v>30</v>
      </c>
      <c r="C185">
        <v>30.27</v>
      </c>
      <c r="D185">
        <v>5</v>
      </c>
      <c r="E185">
        <v>0</v>
      </c>
      <c r="F185">
        <v>5</v>
      </c>
      <c r="G185">
        <v>186</v>
      </c>
    </row>
    <row r="186" spans="1:7" x14ac:dyDescent="0.25">
      <c r="A186" s="2">
        <v>183</v>
      </c>
      <c r="B186">
        <v>30</v>
      </c>
      <c r="C186">
        <v>30.27</v>
      </c>
      <c r="D186">
        <v>9</v>
      </c>
      <c r="E186">
        <v>1</v>
      </c>
      <c r="F186">
        <v>10</v>
      </c>
      <c r="G186">
        <v>191</v>
      </c>
    </row>
    <row r="187" spans="1:7" x14ac:dyDescent="0.25">
      <c r="A187" s="2">
        <v>184</v>
      </c>
      <c r="B187">
        <v>30</v>
      </c>
      <c r="C187">
        <v>30.28</v>
      </c>
      <c r="D187">
        <v>1</v>
      </c>
      <c r="E187">
        <v>2</v>
      </c>
      <c r="F187">
        <v>3</v>
      </c>
      <c r="G187">
        <v>192.5</v>
      </c>
    </row>
    <row r="188" spans="1:7" x14ac:dyDescent="0.25">
      <c r="A188" s="2">
        <v>185</v>
      </c>
      <c r="B188">
        <v>30</v>
      </c>
      <c r="C188">
        <v>30.3</v>
      </c>
      <c r="D188">
        <v>4</v>
      </c>
      <c r="E188">
        <v>0</v>
      </c>
      <c r="F188">
        <v>4</v>
      </c>
      <c r="G188">
        <v>194.5</v>
      </c>
    </row>
    <row r="189" spans="1:7" x14ac:dyDescent="0.25">
      <c r="A189" s="2">
        <v>186</v>
      </c>
      <c r="B189">
        <v>30</v>
      </c>
      <c r="C189">
        <v>30.31</v>
      </c>
      <c r="D189">
        <v>6</v>
      </c>
      <c r="E189">
        <v>1</v>
      </c>
      <c r="F189">
        <v>7</v>
      </c>
      <c r="G189">
        <v>198</v>
      </c>
    </row>
    <row r="190" spans="1:7" x14ac:dyDescent="0.25">
      <c r="A190" s="2">
        <v>187</v>
      </c>
      <c r="B190">
        <v>30</v>
      </c>
      <c r="C190">
        <v>30.25</v>
      </c>
      <c r="D190">
        <v>2</v>
      </c>
      <c r="E190">
        <v>0</v>
      </c>
      <c r="F190">
        <v>2</v>
      </c>
      <c r="G190">
        <v>199</v>
      </c>
    </row>
    <row r="191" spans="1:7" x14ac:dyDescent="0.25">
      <c r="A191" s="2">
        <v>188</v>
      </c>
      <c r="B191">
        <v>30</v>
      </c>
      <c r="C191">
        <v>30.31</v>
      </c>
      <c r="D191">
        <v>3</v>
      </c>
      <c r="E191">
        <v>2</v>
      </c>
      <c r="F191">
        <v>5</v>
      </c>
      <c r="G191">
        <v>201.5</v>
      </c>
    </row>
    <row r="192" spans="1:7" x14ac:dyDescent="0.25">
      <c r="A192" s="2">
        <v>189</v>
      </c>
      <c r="B192">
        <v>30</v>
      </c>
      <c r="C192">
        <v>30.33</v>
      </c>
      <c r="D192">
        <v>9</v>
      </c>
      <c r="E192">
        <v>1</v>
      </c>
      <c r="F192">
        <v>10</v>
      </c>
      <c r="G192">
        <v>206.5</v>
      </c>
    </row>
    <row r="193" spans="1:7" x14ac:dyDescent="0.25">
      <c r="A193" s="2">
        <v>190</v>
      </c>
      <c r="B193">
        <v>30</v>
      </c>
      <c r="C193">
        <v>30.29</v>
      </c>
      <c r="D193">
        <v>7</v>
      </c>
      <c r="E193">
        <v>2</v>
      </c>
      <c r="F193">
        <v>9</v>
      </c>
      <c r="G193">
        <v>211</v>
      </c>
    </row>
    <row r="194" spans="1:7" x14ac:dyDescent="0.25">
      <c r="A194" s="2">
        <v>191</v>
      </c>
      <c r="B194">
        <v>30</v>
      </c>
      <c r="C194">
        <v>30.32</v>
      </c>
      <c r="D194">
        <v>7</v>
      </c>
      <c r="E194">
        <v>1</v>
      </c>
      <c r="F194">
        <v>8</v>
      </c>
      <c r="G194">
        <v>215</v>
      </c>
    </row>
    <row r="195" spans="1:7" x14ac:dyDescent="0.25">
      <c r="A195" s="2">
        <v>192</v>
      </c>
      <c r="B195">
        <v>30</v>
      </c>
      <c r="C195">
        <v>30.31</v>
      </c>
      <c r="D195">
        <v>10</v>
      </c>
      <c r="E195">
        <v>0</v>
      </c>
      <c r="F195">
        <v>10</v>
      </c>
      <c r="G195">
        <v>220</v>
      </c>
    </row>
    <row r="196" spans="1:7" x14ac:dyDescent="0.25">
      <c r="A196" s="2">
        <v>193</v>
      </c>
      <c r="B196">
        <v>30</v>
      </c>
      <c r="C196">
        <v>30.34</v>
      </c>
      <c r="D196">
        <v>8</v>
      </c>
      <c r="E196">
        <v>2</v>
      </c>
      <c r="F196">
        <v>10</v>
      </c>
      <c r="G196">
        <v>225</v>
      </c>
    </row>
    <row r="197" spans="1:7" x14ac:dyDescent="0.25">
      <c r="A197" s="2">
        <v>194</v>
      </c>
      <c r="B197">
        <v>30</v>
      </c>
      <c r="C197">
        <v>30.33</v>
      </c>
      <c r="D197">
        <v>6</v>
      </c>
      <c r="E197">
        <v>2</v>
      </c>
      <c r="F197">
        <v>8</v>
      </c>
      <c r="G197">
        <v>229</v>
      </c>
    </row>
    <row r="198" spans="1:7" x14ac:dyDescent="0.25">
      <c r="A198" s="2">
        <v>195</v>
      </c>
      <c r="B198">
        <v>30</v>
      </c>
      <c r="C198">
        <v>30.32</v>
      </c>
      <c r="D198">
        <v>10</v>
      </c>
      <c r="E198">
        <v>1</v>
      </c>
      <c r="F198">
        <v>11</v>
      </c>
      <c r="G198">
        <v>234.5</v>
      </c>
    </row>
    <row r="199" spans="1:7" x14ac:dyDescent="0.25">
      <c r="A199" s="2">
        <v>196</v>
      </c>
      <c r="B199">
        <v>30</v>
      </c>
      <c r="C199">
        <v>30.31</v>
      </c>
      <c r="D199">
        <v>4</v>
      </c>
      <c r="E199">
        <v>1</v>
      </c>
      <c r="F199">
        <v>5</v>
      </c>
      <c r="G199">
        <v>237</v>
      </c>
    </row>
    <row r="200" spans="1:7" x14ac:dyDescent="0.25">
      <c r="A200" s="2">
        <v>197</v>
      </c>
      <c r="B200">
        <v>30</v>
      </c>
      <c r="C200">
        <v>30.33</v>
      </c>
      <c r="D200">
        <v>7</v>
      </c>
      <c r="E200">
        <v>2</v>
      </c>
      <c r="F200">
        <v>9</v>
      </c>
      <c r="G200">
        <v>241.5</v>
      </c>
    </row>
    <row r="201" spans="1:7" x14ac:dyDescent="0.25">
      <c r="A201" s="2">
        <v>198</v>
      </c>
      <c r="B201">
        <v>30</v>
      </c>
      <c r="C201">
        <v>30.32</v>
      </c>
      <c r="D201">
        <v>9</v>
      </c>
      <c r="E201">
        <v>2</v>
      </c>
      <c r="F201">
        <v>11</v>
      </c>
      <c r="G201">
        <v>247</v>
      </c>
    </row>
    <row r="202" spans="1:7" x14ac:dyDescent="0.25">
      <c r="A202" s="2">
        <v>199</v>
      </c>
      <c r="B202">
        <v>30</v>
      </c>
      <c r="C202">
        <v>30.34</v>
      </c>
      <c r="D202">
        <v>3</v>
      </c>
      <c r="E202">
        <v>0</v>
      </c>
      <c r="F202">
        <v>3</v>
      </c>
      <c r="G202">
        <v>248.5</v>
      </c>
    </row>
    <row r="203" spans="1:7" x14ac:dyDescent="0.25">
      <c r="A203" s="2">
        <v>200</v>
      </c>
      <c r="B203">
        <v>30</v>
      </c>
      <c r="C203">
        <v>30.36</v>
      </c>
      <c r="D203">
        <v>5</v>
      </c>
      <c r="E203">
        <v>0</v>
      </c>
      <c r="F203">
        <v>5</v>
      </c>
      <c r="G203">
        <v>251</v>
      </c>
    </row>
    <row r="204" spans="1:7" x14ac:dyDescent="0.25">
      <c r="A204" s="2" t="s">
        <v>14</v>
      </c>
      <c r="B204">
        <v>6000</v>
      </c>
      <c r="C204">
        <v>6055.5800000000036</v>
      </c>
      <c r="D204">
        <v>1186</v>
      </c>
      <c r="E204">
        <v>1584</v>
      </c>
      <c r="F204">
        <v>2770</v>
      </c>
      <c r="G204">
        <v>47179.5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0F60-1497-4290-A1FF-FF14EC920E7B}">
  <dimension ref="A1:L202"/>
  <sheetViews>
    <sheetView workbookViewId="0">
      <selection activeCell="A9" sqref="A9"/>
    </sheetView>
  </sheetViews>
  <sheetFormatPr baseColWidth="10" defaultRowHeight="15" x14ac:dyDescent="0.25"/>
  <cols>
    <col min="1" max="1" width="22.7109375" bestFit="1" customWidth="1"/>
    <col min="2" max="2" width="30.140625" bestFit="1" customWidth="1"/>
    <col min="3" max="3" width="27" bestFit="1" customWidth="1"/>
  </cols>
  <sheetData>
    <row r="1" spans="1:12" x14ac:dyDescent="0.25">
      <c r="A1" s="3" t="s">
        <v>15</v>
      </c>
      <c r="B1" t="s">
        <v>22</v>
      </c>
      <c r="C1" t="s">
        <v>23</v>
      </c>
      <c r="E1" t="s">
        <v>27</v>
      </c>
    </row>
    <row r="2" spans="1:12" x14ac:dyDescent="0.25">
      <c r="A2" s="2">
        <v>1</v>
      </c>
      <c r="B2">
        <v>4.2024852071005916E-3</v>
      </c>
      <c r="C2">
        <v>0.04</v>
      </c>
      <c r="E2" t="s">
        <v>30</v>
      </c>
    </row>
    <row r="3" spans="1:12" x14ac:dyDescent="0.25">
      <c r="A3" s="2">
        <v>2</v>
      </c>
      <c r="B3">
        <v>6.109940828402367E-3</v>
      </c>
      <c r="C3">
        <v>0.04</v>
      </c>
    </row>
    <row r="4" spans="1:12" x14ac:dyDescent="0.25">
      <c r="A4" s="2">
        <v>3</v>
      </c>
      <c r="B4">
        <v>6.2223668639053249E-3</v>
      </c>
      <c r="C4">
        <v>0.04</v>
      </c>
    </row>
    <row r="5" spans="1:12" x14ac:dyDescent="0.25">
      <c r="A5" s="2">
        <v>4</v>
      </c>
      <c r="B5">
        <v>5.3397633136094674E-3</v>
      </c>
      <c r="C5">
        <v>0.04</v>
      </c>
    </row>
    <row r="6" spans="1:12" x14ac:dyDescent="0.25">
      <c r="A6" s="2">
        <v>5</v>
      </c>
      <c r="B6">
        <v>5.4621301775147936E-3</v>
      </c>
      <c r="C6">
        <v>0.04</v>
      </c>
    </row>
    <row r="7" spans="1:12" x14ac:dyDescent="0.25">
      <c r="A7" s="2">
        <v>6</v>
      </c>
      <c r="B7">
        <v>5.6894674556213021E-3</v>
      </c>
      <c r="C7">
        <v>0.04</v>
      </c>
      <c r="L7" s="4"/>
    </row>
    <row r="8" spans="1:12" x14ac:dyDescent="0.25">
      <c r="A8" s="2">
        <v>7</v>
      </c>
      <c r="B8">
        <v>5.3217751479289937E-3</v>
      </c>
      <c r="C8">
        <v>0.04</v>
      </c>
      <c r="L8" s="4"/>
    </row>
    <row r="9" spans="1:12" x14ac:dyDescent="0.25">
      <c r="A9" s="2">
        <v>8</v>
      </c>
      <c r="B9">
        <v>3.7590532544378701E-3</v>
      </c>
      <c r="C9">
        <v>0.04</v>
      </c>
    </row>
    <row r="10" spans="1:12" x14ac:dyDescent="0.25">
      <c r="A10" s="2">
        <v>9</v>
      </c>
      <c r="B10">
        <v>3.9013017751479296E-3</v>
      </c>
      <c r="C10">
        <v>0.04</v>
      </c>
    </row>
    <row r="11" spans="1:12" x14ac:dyDescent="0.25">
      <c r="A11" s="2">
        <v>10</v>
      </c>
      <c r="B11">
        <v>5.4485207100591713E-3</v>
      </c>
      <c r="C11">
        <v>0.04</v>
      </c>
    </row>
    <row r="12" spans="1:12" x14ac:dyDescent="0.25">
      <c r="A12" s="2">
        <v>11</v>
      </c>
      <c r="B12">
        <v>5.7007100591715976E-3</v>
      </c>
      <c r="C12">
        <v>0.04</v>
      </c>
    </row>
    <row r="13" spans="1:12" x14ac:dyDescent="0.25">
      <c r="A13" s="2">
        <v>12</v>
      </c>
      <c r="B13">
        <v>6.657869822485207E-3</v>
      </c>
      <c r="C13">
        <v>0.04</v>
      </c>
    </row>
    <row r="14" spans="1:12" x14ac:dyDescent="0.25">
      <c r="A14" s="2">
        <v>13</v>
      </c>
      <c r="B14">
        <v>4.1200000000000004E-3</v>
      </c>
      <c r="C14">
        <v>0.04</v>
      </c>
    </row>
    <row r="15" spans="1:12" x14ac:dyDescent="0.25">
      <c r="A15" s="2">
        <v>14</v>
      </c>
      <c r="B15">
        <v>6.0871005917159764E-3</v>
      </c>
      <c r="C15">
        <v>0.04</v>
      </c>
    </row>
    <row r="16" spans="1:12" x14ac:dyDescent="0.25">
      <c r="A16" s="2">
        <v>15</v>
      </c>
      <c r="B16">
        <v>6.9591715976331367E-3</v>
      </c>
      <c r="C16">
        <v>0.04</v>
      </c>
    </row>
    <row r="17" spans="1:3" x14ac:dyDescent="0.25">
      <c r="A17" s="2">
        <v>16</v>
      </c>
      <c r="B17">
        <v>6.9362130177514792E-3</v>
      </c>
      <c r="C17">
        <v>0.04</v>
      </c>
    </row>
    <row r="18" spans="1:3" x14ac:dyDescent="0.25">
      <c r="A18" s="2">
        <v>17</v>
      </c>
      <c r="B18">
        <v>5.6182248520710056E-3</v>
      </c>
      <c r="C18">
        <v>0.04</v>
      </c>
    </row>
    <row r="19" spans="1:3" x14ac:dyDescent="0.25">
      <c r="A19" s="2">
        <v>18</v>
      </c>
      <c r="B19">
        <v>6.5052071005917162E-3</v>
      </c>
      <c r="C19">
        <v>0.04</v>
      </c>
    </row>
    <row r="20" spans="1:3" x14ac:dyDescent="0.25">
      <c r="A20" s="2">
        <v>19</v>
      </c>
      <c r="B20">
        <v>6.8971597633136093E-3</v>
      </c>
      <c r="C20">
        <v>0.04</v>
      </c>
    </row>
    <row r="21" spans="1:3" x14ac:dyDescent="0.25">
      <c r="A21" s="2">
        <v>20</v>
      </c>
      <c r="B21">
        <v>4.8940828402366868E-3</v>
      </c>
      <c r="C21">
        <v>0.04</v>
      </c>
    </row>
    <row r="22" spans="1:3" x14ac:dyDescent="0.25">
      <c r="A22" s="2">
        <v>21</v>
      </c>
      <c r="B22">
        <v>5.8959763313609472E-3</v>
      </c>
      <c r="C22">
        <v>0.04</v>
      </c>
    </row>
    <row r="23" spans="1:3" x14ac:dyDescent="0.25">
      <c r="A23" s="2">
        <v>22</v>
      </c>
      <c r="B23">
        <v>7.0028402366863916E-3</v>
      </c>
      <c r="C23">
        <v>0.04</v>
      </c>
    </row>
    <row r="24" spans="1:3" x14ac:dyDescent="0.25">
      <c r="A24" s="2">
        <v>23</v>
      </c>
      <c r="B24">
        <v>6.8146745562130181E-3</v>
      </c>
      <c r="C24">
        <v>0.04</v>
      </c>
    </row>
    <row r="25" spans="1:3" x14ac:dyDescent="0.25">
      <c r="A25" s="2">
        <v>24</v>
      </c>
      <c r="B25">
        <v>7.231479289940829E-3</v>
      </c>
      <c r="C25">
        <v>0.04</v>
      </c>
    </row>
    <row r="26" spans="1:3" x14ac:dyDescent="0.25">
      <c r="A26" s="2">
        <v>25</v>
      </c>
      <c r="B26">
        <v>7.5532544378698226E-3</v>
      </c>
      <c r="C26">
        <v>0.04</v>
      </c>
    </row>
    <row r="27" spans="1:3" x14ac:dyDescent="0.25">
      <c r="A27" s="2">
        <v>26</v>
      </c>
      <c r="B27">
        <v>7.7800000000000005E-3</v>
      </c>
      <c r="C27">
        <v>0.04</v>
      </c>
    </row>
    <row r="28" spans="1:3" x14ac:dyDescent="0.25">
      <c r="A28" s="2">
        <v>27</v>
      </c>
      <c r="B28">
        <v>6.311715976331362E-3</v>
      </c>
      <c r="C28">
        <v>0.04</v>
      </c>
    </row>
    <row r="29" spans="1:3" x14ac:dyDescent="0.25">
      <c r="A29" s="2">
        <v>28</v>
      </c>
      <c r="B29">
        <v>8.0484023668639052E-3</v>
      </c>
      <c r="C29">
        <v>0.04</v>
      </c>
    </row>
    <row r="30" spans="1:3" x14ac:dyDescent="0.25">
      <c r="A30" s="2">
        <v>29</v>
      </c>
      <c r="B30">
        <v>6.0900591715976329E-3</v>
      </c>
      <c r="C30">
        <v>0.04</v>
      </c>
    </row>
    <row r="31" spans="1:3" x14ac:dyDescent="0.25">
      <c r="A31" s="2">
        <v>30</v>
      </c>
      <c r="B31">
        <v>7.036686390532545E-3</v>
      </c>
      <c r="C31">
        <v>0.04</v>
      </c>
    </row>
    <row r="32" spans="1:3" x14ac:dyDescent="0.25">
      <c r="A32" s="2">
        <v>31</v>
      </c>
      <c r="B32">
        <v>8.6882840236686409E-3</v>
      </c>
      <c r="C32">
        <v>0.04</v>
      </c>
    </row>
    <row r="33" spans="1:3" x14ac:dyDescent="0.25">
      <c r="A33" s="2">
        <v>32</v>
      </c>
      <c r="B33">
        <v>8.344852071005918E-3</v>
      </c>
      <c r="C33">
        <v>0.04</v>
      </c>
    </row>
    <row r="34" spans="1:3" x14ac:dyDescent="0.25">
      <c r="A34" s="2">
        <v>33</v>
      </c>
      <c r="B34">
        <v>6.3063905325443786E-3</v>
      </c>
      <c r="C34">
        <v>0.04</v>
      </c>
    </row>
    <row r="35" spans="1:3" x14ac:dyDescent="0.25">
      <c r="A35" s="2">
        <v>34</v>
      </c>
      <c r="B35">
        <v>6.8728994082840238E-3</v>
      </c>
      <c r="C35">
        <v>0.04</v>
      </c>
    </row>
    <row r="36" spans="1:3" x14ac:dyDescent="0.25">
      <c r="A36" s="2">
        <v>35</v>
      </c>
      <c r="B36">
        <v>7.4443786982248527E-3</v>
      </c>
      <c r="C36">
        <v>0.04</v>
      </c>
    </row>
    <row r="37" spans="1:3" x14ac:dyDescent="0.25">
      <c r="A37" s="2">
        <v>36</v>
      </c>
      <c r="B37">
        <v>6.920828402366865E-3</v>
      </c>
      <c r="C37">
        <v>0.04</v>
      </c>
    </row>
    <row r="38" spans="1:3" x14ac:dyDescent="0.25">
      <c r="A38" s="2">
        <v>37</v>
      </c>
      <c r="B38">
        <v>9.3022485207100592E-3</v>
      </c>
      <c r="C38">
        <v>0.04</v>
      </c>
    </row>
    <row r="39" spans="1:3" x14ac:dyDescent="0.25">
      <c r="A39" s="2">
        <v>38</v>
      </c>
      <c r="B39">
        <v>7.1886390532544375E-3</v>
      </c>
      <c r="C39">
        <v>0.04</v>
      </c>
    </row>
    <row r="40" spans="1:3" x14ac:dyDescent="0.25">
      <c r="A40" s="2">
        <v>39</v>
      </c>
      <c r="B40">
        <v>8.1799999999999998E-3</v>
      </c>
      <c r="C40">
        <v>0.04</v>
      </c>
    </row>
    <row r="41" spans="1:3" x14ac:dyDescent="0.25">
      <c r="A41" s="2">
        <v>40</v>
      </c>
      <c r="B41">
        <v>9.6763313609467445E-3</v>
      </c>
      <c r="C41">
        <v>0.04</v>
      </c>
    </row>
    <row r="42" spans="1:3" x14ac:dyDescent="0.25">
      <c r="A42" s="2">
        <v>41</v>
      </c>
      <c r="B42">
        <v>8.9776331360946742E-3</v>
      </c>
      <c r="C42">
        <v>0.04</v>
      </c>
    </row>
    <row r="43" spans="1:3" x14ac:dyDescent="0.25">
      <c r="A43" s="2">
        <v>42</v>
      </c>
      <c r="B43">
        <v>7.9839053254437877E-3</v>
      </c>
      <c r="C43">
        <v>0.04</v>
      </c>
    </row>
    <row r="44" spans="1:3" x14ac:dyDescent="0.25">
      <c r="A44" s="2">
        <v>43</v>
      </c>
      <c r="B44">
        <v>9.6951479289940825E-3</v>
      </c>
      <c r="C44">
        <v>0.04</v>
      </c>
    </row>
    <row r="45" spans="1:3" x14ac:dyDescent="0.25">
      <c r="A45" s="2">
        <v>44</v>
      </c>
      <c r="B45">
        <v>9.2113609467455639E-3</v>
      </c>
      <c r="C45">
        <v>0.04</v>
      </c>
    </row>
    <row r="46" spans="1:3" x14ac:dyDescent="0.25">
      <c r="A46" s="2">
        <v>45</v>
      </c>
      <c r="B46">
        <v>1.0432544378698224E-2</v>
      </c>
      <c r="C46">
        <v>0.04</v>
      </c>
    </row>
    <row r="47" spans="1:3" x14ac:dyDescent="0.25">
      <c r="A47" s="2">
        <v>46</v>
      </c>
      <c r="B47">
        <v>1.1758698224852071E-2</v>
      </c>
      <c r="C47">
        <v>0.04</v>
      </c>
    </row>
    <row r="48" spans="1:3" x14ac:dyDescent="0.25">
      <c r="A48" s="2">
        <v>47</v>
      </c>
      <c r="B48">
        <v>1.0889822485207099E-2</v>
      </c>
      <c r="C48">
        <v>0.04</v>
      </c>
    </row>
    <row r="49" spans="1:3" x14ac:dyDescent="0.25">
      <c r="A49" s="2">
        <v>48</v>
      </c>
      <c r="B49">
        <v>1.1025917159763315E-2</v>
      </c>
      <c r="C49">
        <v>0.04</v>
      </c>
    </row>
    <row r="50" spans="1:3" x14ac:dyDescent="0.25">
      <c r="A50" s="2">
        <v>49</v>
      </c>
      <c r="B50">
        <v>1.0966982248520711E-2</v>
      </c>
      <c r="C50">
        <v>0.04</v>
      </c>
    </row>
    <row r="51" spans="1:3" x14ac:dyDescent="0.25">
      <c r="A51" s="2">
        <v>50</v>
      </c>
      <c r="B51">
        <v>1.071301775147929E-2</v>
      </c>
      <c r="C51">
        <v>0.04</v>
      </c>
    </row>
    <row r="52" spans="1:3" x14ac:dyDescent="0.25">
      <c r="A52" s="2">
        <v>51</v>
      </c>
      <c r="B52">
        <v>1.2864023668639054E-2</v>
      </c>
      <c r="C52">
        <v>0.04</v>
      </c>
    </row>
    <row r="53" spans="1:3" x14ac:dyDescent="0.25">
      <c r="A53" s="2">
        <v>52</v>
      </c>
      <c r="B53">
        <v>1.242E-2</v>
      </c>
      <c r="C53">
        <v>0.04</v>
      </c>
    </row>
    <row r="54" spans="1:3" x14ac:dyDescent="0.25">
      <c r="A54" s="2">
        <v>53</v>
      </c>
      <c r="B54">
        <v>1.178094674556213E-2</v>
      </c>
      <c r="C54">
        <v>0.04</v>
      </c>
    </row>
    <row r="55" spans="1:3" x14ac:dyDescent="0.25">
      <c r="A55" s="2">
        <v>54</v>
      </c>
      <c r="B55">
        <v>1.1146863905325445E-2</v>
      </c>
      <c r="C55">
        <v>0.04</v>
      </c>
    </row>
    <row r="56" spans="1:3" x14ac:dyDescent="0.25">
      <c r="A56" s="2">
        <v>55</v>
      </c>
      <c r="B56">
        <v>1.2017751479289941E-2</v>
      </c>
      <c r="C56">
        <v>0.04</v>
      </c>
    </row>
    <row r="57" spans="1:3" x14ac:dyDescent="0.25">
      <c r="A57" s="2">
        <v>56</v>
      </c>
      <c r="B57">
        <v>1.2993609467455623E-2</v>
      </c>
      <c r="C57">
        <v>0.04</v>
      </c>
    </row>
    <row r="58" spans="1:3" x14ac:dyDescent="0.25">
      <c r="A58" s="2">
        <v>57</v>
      </c>
      <c r="B58">
        <v>1.4474437869822486E-2</v>
      </c>
      <c r="C58">
        <v>0.04</v>
      </c>
    </row>
    <row r="59" spans="1:3" x14ac:dyDescent="0.25">
      <c r="A59" s="2">
        <v>58</v>
      </c>
      <c r="B59">
        <v>1.2160236686390533E-2</v>
      </c>
      <c r="C59">
        <v>0.04</v>
      </c>
    </row>
    <row r="60" spans="1:3" x14ac:dyDescent="0.25">
      <c r="A60" s="2">
        <v>59</v>
      </c>
      <c r="B60">
        <v>1.3151005917159762E-2</v>
      </c>
      <c r="C60">
        <v>0.04</v>
      </c>
    </row>
    <row r="61" spans="1:3" x14ac:dyDescent="0.25">
      <c r="A61" s="2">
        <v>60</v>
      </c>
      <c r="B61">
        <v>1.5346745562130179E-2</v>
      </c>
      <c r="C61">
        <v>0.04</v>
      </c>
    </row>
    <row r="62" spans="1:3" x14ac:dyDescent="0.25">
      <c r="A62" s="2">
        <v>61</v>
      </c>
      <c r="B62">
        <v>1.3947455621301777E-2</v>
      </c>
      <c r="C62">
        <v>0.04</v>
      </c>
    </row>
    <row r="63" spans="1:3" x14ac:dyDescent="0.25">
      <c r="A63" s="2">
        <v>62</v>
      </c>
      <c r="B63">
        <v>1.4953136094674557E-2</v>
      </c>
      <c r="C63">
        <v>0.04</v>
      </c>
    </row>
    <row r="64" spans="1:3" x14ac:dyDescent="0.25">
      <c r="A64" s="2">
        <v>63</v>
      </c>
      <c r="B64">
        <v>1.4963786982248522E-2</v>
      </c>
      <c r="C64">
        <v>0.04</v>
      </c>
    </row>
    <row r="65" spans="1:3" x14ac:dyDescent="0.25">
      <c r="A65" s="2">
        <v>64</v>
      </c>
      <c r="B65">
        <v>1.4979408284023671E-2</v>
      </c>
      <c r="C65">
        <v>0.04</v>
      </c>
    </row>
    <row r="66" spans="1:3" x14ac:dyDescent="0.25">
      <c r="A66" s="2">
        <v>65</v>
      </c>
      <c r="B66">
        <v>1.6400000000000001E-2</v>
      </c>
      <c r="C66">
        <v>0.04</v>
      </c>
    </row>
    <row r="67" spans="1:3" x14ac:dyDescent="0.25">
      <c r="A67" s="2">
        <v>66</v>
      </c>
      <c r="B67">
        <v>1.7025562130177516E-2</v>
      </c>
      <c r="C67">
        <v>0.04</v>
      </c>
    </row>
    <row r="68" spans="1:3" x14ac:dyDescent="0.25">
      <c r="A68" s="2">
        <v>67</v>
      </c>
      <c r="B68">
        <v>1.5656094674556212E-2</v>
      </c>
      <c r="C68">
        <v>0.04</v>
      </c>
    </row>
    <row r="69" spans="1:3" x14ac:dyDescent="0.25">
      <c r="A69" s="2">
        <v>68</v>
      </c>
      <c r="B69">
        <v>1.7691597633136096E-2</v>
      </c>
      <c r="C69">
        <v>0.04</v>
      </c>
    </row>
    <row r="70" spans="1:3" x14ac:dyDescent="0.25">
      <c r="A70" s="2">
        <v>69</v>
      </c>
      <c r="B70">
        <v>1.6832071005917163E-2</v>
      </c>
      <c r="C70">
        <v>0.04</v>
      </c>
    </row>
    <row r="71" spans="1:3" x14ac:dyDescent="0.25">
      <c r="A71" s="2">
        <v>70</v>
      </c>
      <c r="B71">
        <v>1.7977514792899406E-2</v>
      </c>
      <c r="C71">
        <v>0.04</v>
      </c>
    </row>
    <row r="72" spans="1:3" x14ac:dyDescent="0.25">
      <c r="A72" s="2">
        <v>71</v>
      </c>
      <c r="B72">
        <v>1.7627928994082838E-2</v>
      </c>
      <c r="C72">
        <v>0.04</v>
      </c>
    </row>
    <row r="73" spans="1:3" x14ac:dyDescent="0.25">
      <c r="A73" s="2">
        <v>72</v>
      </c>
      <c r="B73">
        <v>1.6783313609467457E-2</v>
      </c>
      <c r="C73">
        <v>0.04</v>
      </c>
    </row>
    <row r="74" spans="1:3" x14ac:dyDescent="0.25">
      <c r="A74" s="2">
        <v>73</v>
      </c>
      <c r="B74">
        <v>1.8643668639053257E-2</v>
      </c>
      <c r="C74">
        <v>0.04</v>
      </c>
    </row>
    <row r="75" spans="1:3" x14ac:dyDescent="0.25">
      <c r="A75" s="2">
        <v>74</v>
      </c>
      <c r="B75">
        <v>1.7708994082840237E-2</v>
      </c>
      <c r="C75">
        <v>0.04</v>
      </c>
    </row>
    <row r="76" spans="1:3" x14ac:dyDescent="0.25">
      <c r="A76" s="2">
        <v>75</v>
      </c>
      <c r="B76">
        <v>1.8379289940828401E-2</v>
      </c>
      <c r="C76">
        <v>0.04</v>
      </c>
    </row>
    <row r="77" spans="1:3" x14ac:dyDescent="0.25">
      <c r="A77" s="2">
        <v>76</v>
      </c>
      <c r="B77">
        <v>1.9754556213017756E-2</v>
      </c>
      <c r="C77">
        <v>0.04</v>
      </c>
    </row>
    <row r="78" spans="1:3" x14ac:dyDescent="0.25">
      <c r="A78" s="2">
        <v>77</v>
      </c>
      <c r="B78">
        <v>1.8534792899408285E-2</v>
      </c>
      <c r="C78">
        <v>0.04</v>
      </c>
    </row>
    <row r="79" spans="1:3" x14ac:dyDescent="0.25">
      <c r="A79" s="2">
        <v>78</v>
      </c>
      <c r="B79">
        <v>1.8619999999999998E-2</v>
      </c>
      <c r="C79">
        <v>0.04</v>
      </c>
    </row>
    <row r="80" spans="1:3" x14ac:dyDescent="0.25">
      <c r="A80" s="2">
        <v>79</v>
      </c>
      <c r="B80">
        <v>2.0110177514792899E-2</v>
      </c>
      <c r="C80">
        <v>0.04</v>
      </c>
    </row>
    <row r="81" spans="1:3" x14ac:dyDescent="0.25">
      <c r="A81" s="2">
        <v>80</v>
      </c>
      <c r="B81">
        <v>2.0605325443786984E-2</v>
      </c>
      <c r="C81">
        <v>0.04</v>
      </c>
    </row>
    <row r="82" spans="1:3" x14ac:dyDescent="0.25">
      <c r="A82" s="2">
        <v>81</v>
      </c>
      <c r="B82">
        <v>2.0105443786982251E-2</v>
      </c>
      <c r="C82">
        <v>0.04</v>
      </c>
    </row>
    <row r="83" spans="1:3" x14ac:dyDescent="0.25">
      <c r="A83" s="2">
        <v>82</v>
      </c>
      <c r="B83">
        <v>2.27105325443787E-2</v>
      </c>
      <c r="C83">
        <v>0.04</v>
      </c>
    </row>
    <row r="84" spans="1:3" x14ac:dyDescent="0.25">
      <c r="A84" s="2">
        <v>83</v>
      </c>
      <c r="B84">
        <v>2.1520591715976332E-2</v>
      </c>
      <c r="C84">
        <v>0.04</v>
      </c>
    </row>
    <row r="85" spans="1:3" x14ac:dyDescent="0.25">
      <c r="A85" s="2">
        <v>84</v>
      </c>
      <c r="B85">
        <v>2.3235621301775151E-2</v>
      </c>
      <c r="C85">
        <v>0.04</v>
      </c>
    </row>
    <row r="86" spans="1:3" x14ac:dyDescent="0.25">
      <c r="A86" s="2">
        <v>85</v>
      </c>
      <c r="B86">
        <v>2.2055621301775151E-2</v>
      </c>
      <c r="C86">
        <v>0.04</v>
      </c>
    </row>
    <row r="87" spans="1:3" x14ac:dyDescent="0.25">
      <c r="A87" s="2">
        <v>86</v>
      </c>
      <c r="B87">
        <v>2.2380591715976332E-2</v>
      </c>
      <c r="C87">
        <v>0.04</v>
      </c>
    </row>
    <row r="88" spans="1:3" x14ac:dyDescent="0.25">
      <c r="A88" s="2">
        <v>87</v>
      </c>
      <c r="B88">
        <v>2.2510532544378698E-2</v>
      </c>
      <c r="C88">
        <v>0.04</v>
      </c>
    </row>
    <row r="89" spans="1:3" x14ac:dyDescent="0.25">
      <c r="A89" s="2">
        <v>88</v>
      </c>
      <c r="B89">
        <v>2.3445443786982257E-2</v>
      </c>
      <c r="C89">
        <v>0.04</v>
      </c>
    </row>
    <row r="90" spans="1:3" x14ac:dyDescent="0.25">
      <c r="A90" s="2">
        <v>89</v>
      </c>
      <c r="B90">
        <v>2.5385325443786983E-2</v>
      </c>
      <c r="C90">
        <v>0.04</v>
      </c>
    </row>
    <row r="91" spans="1:3" x14ac:dyDescent="0.25">
      <c r="A91" s="2">
        <v>90</v>
      </c>
      <c r="B91">
        <v>2.5330177514792898E-2</v>
      </c>
      <c r="C91">
        <v>0.04</v>
      </c>
    </row>
    <row r="92" spans="1:3" x14ac:dyDescent="0.25">
      <c r="A92" s="2">
        <v>91</v>
      </c>
      <c r="B92">
        <v>2.4279999999999999E-2</v>
      </c>
      <c r="C92">
        <v>0.04</v>
      </c>
    </row>
    <row r="93" spans="1:3" x14ac:dyDescent="0.25">
      <c r="A93" s="2">
        <v>92</v>
      </c>
      <c r="B93">
        <v>2.6734792899408288E-2</v>
      </c>
      <c r="C93">
        <v>0.04</v>
      </c>
    </row>
    <row r="94" spans="1:3" x14ac:dyDescent="0.25">
      <c r="A94" s="2">
        <v>93</v>
      </c>
      <c r="B94">
        <v>2.4994556213017754E-2</v>
      </c>
      <c r="C94">
        <v>0.04</v>
      </c>
    </row>
    <row r="95" spans="1:3" x14ac:dyDescent="0.25">
      <c r="A95" s="2">
        <v>94</v>
      </c>
      <c r="B95">
        <v>2.8359289940828401E-2</v>
      </c>
      <c r="C95">
        <v>0.04</v>
      </c>
    </row>
    <row r="96" spans="1:3" x14ac:dyDescent="0.25">
      <c r="A96" s="2">
        <v>95</v>
      </c>
      <c r="B96">
        <v>2.8628994082840236E-2</v>
      </c>
      <c r="C96">
        <v>0.04</v>
      </c>
    </row>
    <row r="97" spans="1:3" x14ac:dyDescent="0.25">
      <c r="A97" s="2">
        <v>96</v>
      </c>
      <c r="B97">
        <v>2.8503668639053261E-2</v>
      </c>
      <c r="C97">
        <v>0.04</v>
      </c>
    </row>
    <row r="98" spans="1:3" x14ac:dyDescent="0.25">
      <c r="A98" s="2">
        <v>97</v>
      </c>
      <c r="B98">
        <v>2.9183313609467458E-2</v>
      </c>
      <c r="C98">
        <v>0.04</v>
      </c>
    </row>
    <row r="99" spans="1:3" x14ac:dyDescent="0.25">
      <c r="A99" s="2">
        <v>98</v>
      </c>
      <c r="B99">
        <v>2.966792899408284E-2</v>
      </c>
      <c r="C99">
        <v>0.04</v>
      </c>
    </row>
    <row r="100" spans="1:3" x14ac:dyDescent="0.25">
      <c r="A100" s="2">
        <v>99</v>
      </c>
      <c r="B100">
        <v>2.9357514792899411E-2</v>
      </c>
      <c r="C100">
        <v>0.04</v>
      </c>
    </row>
    <row r="101" spans="1:3" x14ac:dyDescent="0.25">
      <c r="A101" s="2">
        <v>100</v>
      </c>
      <c r="B101">
        <v>2.9252071005917164E-2</v>
      </c>
      <c r="C101">
        <v>0.04</v>
      </c>
    </row>
    <row r="102" spans="1:3" x14ac:dyDescent="0.25">
      <c r="A102" s="2">
        <v>101</v>
      </c>
      <c r="B102">
        <v>3.1851597633136094E-2</v>
      </c>
      <c r="C102">
        <v>0.04</v>
      </c>
    </row>
    <row r="103" spans="1:3" x14ac:dyDescent="0.25">
      <c r="A103" s="2">
        <v>102</v>
      </c>
      <c r="B103">
        <v>2.9356094674556216E-2</v>
      </c>
      <c r="C103">
        <v>0.04</v>
      </c>
    </row>
    <row r="104" spans="1:3" x14ac:dyDescent="0.25">
      <c r="A104" s="2">
        <v>103</v>
      </c>
      <c r="B104">
        <v>3.0165562130177515E-2</v>
      </c>
      <c r="C104">
        <v>0.04</v>
      </c>
    </row>
    <row r="105" spans="1:3" x14ac:dyDescent="0.25">
      <c r="A105" s="2">
        <v>104</v>
      </c>
      <c r="B105">
        <v>3.2780000000000004E-2</v>
      </c>
      <c r="C105">
        <v>0.04</v>
      </c>
    </row>
    <row r="106" spans="1:3" x14ac:dyDescent="0.25">
      <c r="A106" s="2">
        <v>105</v>
      </c>
      <c r="B106">
        <v>3.3299408284023668E-2</v>
      </c>
      <c r="C106">
        <v>0.04</v>
      </c>
    </row>
    <row r="107" spans="1:3" x14ac:dyDescent="0.25">
      <c r="A107" s="2">
        <v>106</v>
      </c>
      <c r="B107">
        <v>3.3023786982248525E-2</v>
      </c>
      <c r="C107">
        <v>0.04</v>
      </c>
    </row>
    <row r="108" spans="1:3" x14ac:dyDescent="0.25">
      <c r="A108" s="2">
        <v>107</v>
      </c>
      <c r="B108">
        <v>3.3753136094674556E-2</v>
      </c>
      <c r="C108">
        <v>0.04</v>
      </c>
    </row>
    <row r="109" spans="1:3" x14ac:dyDescent="0.25">
      <c r="A109" s="2">
        <v>108</v>
      </c>
      <c r="B109">
        <v>3.4487455621301781E-2</v>
      </c>
      <c r="C109">
        <v>0.04</v>
      </c>
    </row>
    <row r="110" spans="1:3" x14ac:dyDescent="0.25">
      <c r="A110" s="2">
        <v>109</v>
      </c>
      <c r="B110">
        <v>3.4726745562130179E-2</v>
      </c>
      <c r="C110">
        <v>0.04</v>
      </c>
    </row>
    <row r="111" spans="1:3" x14ac:dyDescent="0.25">
      <c r="A111" s="2">
        <v>110</v>
      </c>
      <c r="B111">
        <v>3.397100591715977E-2</v>
      </c>
      <c r="C111">
        <v>0.04</v>
      </c>
    </row>
    <row r="112" spans="1:3" x14ac:dyDescent="0.25">
      <c r="A112" s="2">
        <v>111</v>
      </c>
      <c r="B112">
        <v>3.5120236686390527E-2</v>
      </c>
      <c r="C112">
        <v>0.04</v>
      </c>
    </row>
    <row r="113" spans="1:3" x14ac:dyDescent="0.25">
      <c r="A113" s="2">
        <v>112</v>
      </c>
      <c r="B113">
        <v>3.4974437869822489E-2</v>
      </c>
      <c r="C113">
        <v>0.04</v>
      </c>
    </row>
    <row r="114" spans="1:3" x14ac:dyDescent="0.25">
      <c r="A114" s="2">
        <v>113</v>
      </c>
      <c r="B114">
        <v>3.5833609467455625E-2</v>
      </c>
      <c r="C114">
        <v>0.04</v>
      </c>
    </row>
    <row r="115" spans="1:3" x14ac:dyDescent="0.25">
      <c r="A115" s="2">
        <v>114</v>
      </c>
      <c r="B115">
        <v>3.6197751479289941E-2</v>
      </c>
      <c r="C115">
        <v>0.04</v>
      </c>
    </row>
    <row r="116" spans="1:3" x14ac:dyDescent="0.25">
      <c r="A116" s="2">
        <v>115</v>
      </c>
      <c r="B116">
        <v>3.7666863905325441E-2</v>
      </c>
      <c r="C116">
        <v>0.04</v>
      </c>
    </row>
    <row r="117" spans="1:3" x14ac:dyDescent="0.25">
      <c r="A117" s="2">
        <v>116</v>
      </c>
      <c r="B117">
        <v>3.9640946745562129E-2</v>
      </c>
      <c r="C117">
        <v>0.04</v>
      </c>
    </row>
    <row r="118" spans="1:3" x14ac:dyDescent="0.25">
      <c r="A118" s="2">
        <v>117</v>
      </c>
      <c r="B118">
        <v>4.0320000000000002E-2</v>
      </c>
      <c r="C118">
        <v>0.04</v>
      </c>
    </row>
    <row r="119" spans="1:3" x14ac:dyDescent="0.25">
      <c r="A119" s="2">
        <v>118</v>
      </c>
      <c r="B119">
        <v>3.9704023668639052E-2</v>
      </c>
      <c r="C119">
        <v>0.04</v>
      </c>
    </row>
    <row r="120" spans="1:3" x14ac:dyDescent="0.25">
      <c r="A120" s="2">
        <v>119</v>
      </c>
      <c r="B120">
        <v>4.0093017751479283E-2</v>
      </c>
      <c r="C120">
        <v>0.04</v>
      </c>
    </row>
    <row r="121" spans="1:3" x14ac:dyDescent="0.25">
      <c r="A121" s="2">
        <v>120</v>
      </c>
      <c r="B121">
        <v>3.9286982248520716E-2</v>
      </c>
      <c r="C121">
        <v>0.04</v>
      </c>
    </row>
    <row r="122" spans="1:3" x14ac:dyDescent="0.25">
      <c r="A122" s="2">
        <v>121</v>
      </c>
      <c r="B122">
        <v>4.1385917159763315E-2</v>
      </c>
      <c r="C122">
        <v>0.04</v>
      </c>
    </row>
    <row r="123" spans="1:3" x14ac:dyDescent="0.25">
      <c r="A123" s="2">
        <v>122</v>
      </c>
      <c r="B123">
        <v>4.2989822485207101E-2</v>
      </c>
      <c r="C123">
        <v>0.04</v>
      </c>
    </row>
    <row r="124" spans="1:3" x14ac:dyDescent="0.25">
      <c r="A124" s="2">
        <v>123</v>
      </c>
      <c r="B124">
        <v>4.1598698224852071E-2</v>
      </c>
      <c r="C124">
        <v>0.04</v>
      </c>
    </row>
    <row r="125" spans="1:3" x14ac:dyDescent="0.25">
      <c r="A125" s="2">
        <v>124</v>
      </c>
      <c r="B125">
        <v>4.3012544378698232E-2</v>
      </c>
      <c r="C125">
        <v>0.04</v>
      </c>
    </row>
    <row r="126" spans="1:3" x14ac:dyDescent="0.25">
      <c r="A126" s="2">
        <v>125</v>
      </c>
      <c r="B126">
        <v>4.4731360946745562E-2</v>
      </c>
      <c r="C126">
        <v>0.04</v>
      </c>
    </row>
    <row r="127" spans="1:3" x14ac:dyDescent="0.25">
      <c r="A127" s="2">
        <v>126</v>
      </c>
      <c r="B127">
        <v>4.5755147928994086E-2</v>
      </c>
      <c r="C127">
        <v>0.04</v>
      </c>
    </row>
    <row r="128" spans="1:3" x14ac:dyDescent="0.25">
      <c r="A128" s="2">
        <v>127</v>
      </c>
      <c r="B128">
        <v>4.4683905325443786E-2</v>
      </c>
      <c r="C128">
        <v>0.04</v>
      </c>
    </row>
    <row r="129" spans="1:3" x14ac:dyDescent="0.25">
      <c r="A129" s="2">
        <v>128</v>
      </c>
      <c r="B129">
        <v>4.5517633136094679E-2</v>
      </c>
      <c r="C129">
        <v>0.04</v>
      </c>
    </row>
    <row r="130" spans="1:3" x14ac:dyDescent="0.25">
      <c r="A130" s="2">
        <v>129</v>
      </c>
      <c r="B130">
        <v>4.6056331360946744E-2</v>
      </c>
      <c r="C130">
        <v>0.04</v>
      </c>
    </row>
    <row r="131" spans="1:3" x14ac:dyDescent="0.25">
      <c r="A131" s="2">
        <v>130</v>
      </c>
      <c r="B131">
        <v>4.65E-2</v>
      </c>
      <c r="C131">
        <v>0.04</v>
      </c>
    </row>
    <row r="132" spans="1:3" x14ac:dyDescent="0.25">
      <c r="A132" s="2">
        <v>131</v>
      </c>
      <c r="B132">
        <v>4.3042000000000002E-3</v>
      </c>
      <c r="C132">
        <v>0.04</v>
      </c>
    </row>
    <row r="133" spans="1:3" x14ac:dyDescent="0.25">
      <c r="A133" s="2">
        <v>132</v>
      </c>
      <c r="B133">
        <v>4.4168000000000002E-3</v>
      </c>
      <c r="C133">
        <v>0.04</v>
      </c>
    </row>
    <row r="134" spans="1:3" x14ac:dyDescent="0.25">
      <c r="A134" s="2">
        <v>133</v>
      </c>
      <c r="B134">
        <v>6.1378000000000005E-3</v>
      </c>
      <c r="C134">
        <v>0.04</v>
      </c>
    </row>
    <row r="135" spans="1:3" x14ac:dyDescent="0.25">
      <c r="A135" s="2">
        <v>134</v>
      </c>
      <c r="B135">
        <v>3.6671999999999998E-3</v>
      </c>
      <c r="C135">
        <v>0.04</v>
      </c>
    </row>
    <row r="136" spans="1:3" x14ac:dyDescent="0.25">
      <c r="A136" s="2">
        <v>135</v>
      </c>
      <c r="B136">
        <v>5.705E-3</v>
      </c>
      <c r="C136">
        <v>0.04</v>
      </c>
    </row>
    <row r="137" spans="1:3" x14ac:dyDescent="0.25">
      <c r="A137" s="2">
        <v>136</v>
      </c>
      <c r="B137">
        <v>4.3511999999999995E-3</v>
      </c>
      <c r="C137">
        <v>0.04</v>
      </c>
    </row>
    <row r="138" spans="1:3" x14ac:dyDescent="0.25">
      <c r="A138" s="2">
        <v>137</v>
      </c>
      <c r="B138">
        <v>6.4057999999999997E-3</v>
      </c>
      <c r="C138">
        <v>0.04</v>
      </c>
    </row>
    <row r="139" spans="1:3" x14ac:dyDescent="0.25">
      <c r="A139" s="2">
        <v>138</v>
      </c>
      <c r="B139">
        <v>3.8688000000000004E-3</v>
      </c>
      <c r="C139">
        <v>0.04</v>
      </c>
    </row>
    <row r="140" spans="1:3" x14ac:dyDescent="0.25">
      <c r="A140" s="2">
        <v>139</v>
      </c>
      <c r="B140">
        <v>5.8402000000000003E-3</v>
      </c>
      <c r="C140">
        <v>0.04</v>
      </c>
    </row>
    <row r="141" spans="1:3" x14ac:dyDescent="0.25">
      <c r="A141" s="2">
        <v>140</v>
      </c>
      <c r="B141">
        <v>3.9199999999999999E-3</v>
      </c>
      <c r="C141">
        <v>0.04</v>
      </c>
    </row>
    <row r="142" spans="1:3" x14ac:dyDescent="0.25">
      <c r="A142" s="2">
        <v>141</v>
      </c>
      <c r="B142">
        <v>5.2082000000000005E-3</v>
      </c>
      <c r="C142">
        <v>0.04</v>
      </c>
    </row>
    <row r="143" spans="1:3" x14ac:dyDescent="0.25">
      <c r="A143" s="2">
        <v>142</v>
      </c>
      <c r="B143">
        <v>4.6048E-3</v>
      </c>
      <c r="C143">
        <v>0.04</v>
      </c>
    </row>
    <row r="144" spans="1:3" x14ac:dyDescent="0.25">
      <c r="A144" s="2">
        <v>143</v>
      </c>
      <c r="B144">
        <v>7.2098000000000006E-3</v>
      </c>
      <c r="C144">
        <v>0.04</v>
      </c>
    </row>
    <row r="145" spans="1:3" x14ac:dyDescent="0.25">
      <c r="A145" s="2">
        <v>144</v>
      </c>
      <c r="B145">
        <v>6.7232000000000004E-3</v>
      </c>
      <c r="C145">
        <v>0.04</v>
      </c>
    </row>
    <row r="146" spans="1:3" x14ac:dyDescent="0.25">
      <c r="A146" s="2">
        <v>145</v>
      </c>
      <c r="B146">
        <v>7.2449999999999997E-3</v>
      </c>
      <c r="C146">
        <v>0.04</v>
      </c>
    </row>
    <row r="147" spans="1:3" x14ac:dyDescent="0.25">
      <c r="A147" s="2">
        <v>146</v>
      </c>
      <c r="B147">
        <v>5.0752000000000002E-3</v>
      </c>
      <c r="C147">
        <v>0.04</v>
      </c>
    </row>
    <row r="148" spans="1:3" x14ac:dyDescent="0.25">
      <c r="A148" s="2">
        <v>147</v>
      </c>
      <c r="B148">
        <v>5.6138000000000004E-3</v>
      </c>
      <c r="C148">
        <v>0.04</v>
      </c>
    </row>
    <row r="149" spans="1:3" x14ac:dyDescent="0.25">
      <c r="A149" s="2">
        <v>148</v>
      </c>
      <c r="B149">
        <v>7.6607999999999997E-3</v>
      </c>
      <c r="C149">
        <v>0.04</v>
      </c>
    </row>
    <row r="150" spans="1:3" x14ac:dyDescent="0.25">
      <c r="A150" s="2">
        <v>149</v>
      </c>
      <c r="B150">
        <v>6.2161999999999999E-3</v>
      </c>
      <c r="C150">
        <v>0.04</v>
      </c>
    </row>
    <row r="151" spans="1:3" x14ac:dyDescent="0.25">
      <c r="A151" s="2">
        <v>150</v>
      </c>
      <c r="B151">
        <v>5.3800000000000002E-3</v>
      </c>
      <c r="C151">
        <v>0.04</v>
      </c>
    </row>
    <row r="152" spans="1:3" x14ac:dyDescent="0.25">
      <c r="A152" s="2">
        <v>151</v>
      </c>
      <c r="B152">
        <v>7.8522000000000002E-3</v>
      </c>
      <c r="C152">
        <v>0.04</v>
      </c>
    </row>
    <row r="153" spans="1:3" x14ac:dyDescent="0.25">
      <c r="A153" s="2">
        <v>152</v>
      </c>
      <c r="B153">
        <v>6.9328000000000002E-3</v>
      </c>
      <c r="C153">
        <v>0.04</v>
      </c>
    </row>
    <row r="154" spans="1:3" x14ac:dyDescent="0.25">
      <c r="A154" s="2">
        <v>153</v>
      </c>
      <c r="B154">
        <v>7.0218000000000008E-3</v>
      </c>
      <c r="C154">
        <v>0.04</v>
      </c>
    </row>
    <row r="155" spans="1:3" x14ac:dyDescent="0.25">
      <c r="A155" s="2">
        <v>154</v>
      </c>
      <c r="B155">
        <v>7.4192000000000008E-3</v>
      </c>
      <c r="C155">
        <v>0.04</v>
      </c>
    </row>
    <row r="156" spans="1:3" x14ac:dyDescent="0.25">
      <c r="A156" s="2">
        <v>155</v>
      </c>
      <c r="B156">
        <v>7.6249999999999998E-3</v>
      </c>
      <c r="C156">
        <v>0.04</v>
      </c>
    </row>
    <row r="157" spans="1:3" x14ac:dyDescent="0.25">
      <c r="A157" s="2">
        <v>156</v>
      </c>
      <c r="B157">
        <v>7.0392000000000007E-3</v>
      </c>
      <c r="C157">
        <v>0.04</v>
      </c>
    </row>
    <row r="158" spans="1:3" x14ac:dyDescent="0.25">
      <c r="A158" s="2">
        <v>157</v>
      </c>
      <c r="B158">
        <v>7.2618000000000005E-3</v>
      </c>
      <c r="C158">
        <v>0.04</v>
      </c>
    </row>
    <row r="159" spans="1:3" x14ac:dyDescent="0.25">
      <c r="A159" s="2">
        <v>158</v>
      </c>
      <c r="B159">
        <v>9.4928000000000009E-3</v>
      </c>
      <c r="C159">
        <v>0.04</v>
      </c>
    </row>
    <row r="160" spans="1:3" x14ac:dyDescent="0.25">
      <c r="A160" s="2">
        <v>159</v>
      </c>
      <c r="B160">
        <v>7.832200000000001E-3</v>
      </c>
      <c r="C160">
        <v>0.04</v>
      </c>
    </row>
    <row r="161" spans="1:3" x14ac:dyDescent="0.25">
      <c r="A161" s="2">
        <v>160</v>
      </c>
      <c r="B161">
        <v>9.4799999999999988E-3</v>
      </c>
      <c r="C161">
        <v>0.04</v>
      </c>
    </row>
    <row r="162" spans="1:3" x14ac:dyDescent="0.25">
      <c r="A162" s="2">
        <v>161</v>
      </c>
      <c r="B162">
        <v>8.6362000000000019E-3</v>
      </c>
      <c r="C162">
        <v>0.04</v>
      </c>
    </row>
    <row r="163" spans="1:3" x14ac:dyDescent="0.25">
      <c r="A163" s="2">
        <v>162</v>
      </c>
      <c r="B163">
        <v>8.5008000000000011E-3</v>
      </c>
      <c r="C163">
        <v>0.04</v>
      </c>
    </row>
    <row r="164" spans="1:3" x14ac:dyDescent="0.25">
      <c r="A164" s="2">
        <v>163</v>
      </c>
      <c r="B164">
        <v>1.01738E-2</v>
      </c>
      <c r="C164">
        <v>0.04</v>
      </c>
    </row>
    <row r="165" spans="1:3" x14ac:dyDescent="0.25">
      <c r="A165" s="2">
        <v>164</v>
      </c>
      <c r="B165">
        <v>1.0055200000000002E-2</v>
      </c>
      <c r="C165">
        <v>0.04</v>
      </c>
    </row>
    <row r="166" spans="1:3" x14ac:dyDescent="0.25">
      <c r="A166" s="2">
        <v>165</v>
      </c>
      <c r="B166">
        <v>9.5449999999999997E-3</v>
      </c>
      <c r="C166">
        <v>0.04</v>
      </c>
    </row>
    <row r="167" spans="1:3" x14ac:dyDescent="0.25">
      <c r="A167" s="2">
        <v>166</v>
      </c>
      <c r="B167">
        <v>1.1443200000000001E-2</v>
      </c>
      <c r="C167">
        <v>0.04</v>
      </c>
    </row>
    <row r="168" spans="1:3" x14ac:dyDescent="0.25">
      <c r="A168" s="2">
        <v>167</v>
      </c>
      <c r="B168">
        <v>1.1749800000000001E-2</v>
      </c>
      <c r="C168">
        <v>0.04</v>
      </c>
    </row>
    <row r="169" spans="1:3" x14ac:dyDescent="0.25">
      <c r="A169" s="2">
        <v>168</v>
      </c>
      <c r="B169">
        <v>1.0564799999999999E-2</v>
      </c>
      <c r="C169">
        <v>0.04</v>
      </c>
    </row>
    <row r="170" spans="1:3" x14ac:dyDescent="0.25">
      <c r="A170" s="2">
        <v>169</v>
      </c>
      <c r="B170">
        <v>1.26882E-2</v>
      </c>
      <c r="C170">
        <v>0.04</v>
      </c>
    </row>
    <row r="171" spans="1:3" x14ac:dyDescent="0.25">
      <c r="A171" s="2">
        <v>170</v>
      </c>
      <c r="B171">
        <v>1.0820000000000001E-2</v>
      </c>
      <c r="C171">
        <v>0.04</v>
      </c>
    </row>
    <row r="172" spans="1:3" x14ac:dyDescent="0.25">
      <c r="A172" s="2">
        <v>171</v>
      </c>
      <c r="B172">
        <v>1.15602E-2</v>
      </c>
      <c r="C172">
        <v>0.04</v>
      </c>
    </row>
    <row r="173" spans="1:3" x14ac:dyDescent="0.25">
      <c r="A173" s="2">
        <v>172</v>
      </c>
      <c r="B173">
        <v>1.1308799999999999E-2</v>
      </c>
      <c r="C173">
        <v>0.04</v>
      </c>
    </row>
    <row r="174" spans="1:3" x14ac:dyDescent="0.25">
      <c r="A174" s="2">
        <v>173</v>
      </c>
      <c r="B174">
        <v>1.22658E-2</v>
      </c>
      <c r="C174">
        <v>0.04</v>
      </c>
    </row>
    <row r="175" spans="1:3" x14ac:dyDescent="0.25">
      <c r="A175" s="2">
        <v>174</v>
      </c>
      <c r="B175">
        <v>1.4631199999999999E-2</v>
      </c>
      <c r="C175">
        <v>0.04</v>
      </c>
    </row>
    <row r="176" spans="1:3" x14ac:dyDescent="0.25">
      <c r="A176" s="2">
        <v>175</v>
      </c>
      <c r="B176">
        <v>1.3904999999999999E-2</v>
      </c>
      <c r="C176">
        <v>0.04</v>
      </c>
    </row>
    <row r="177" spans="1:3" x14ac:dyDescent="0.25">
      <c r="A177" s="2">
        <v>176</v>
      </c>
      <c r="B177">
        <v>1.4587200000000002E-2</v>
      </c>
      <c r="C177">
        <v>0.04</v>
      </c>
    </row>
    <row r="178" spans="1:3" x14ac:dyDescent="0.25">
      <c r="A178" s="2">
        <v>177</v>
      </c>
      <c r="B178">
        <v>1.2977800000000001E-2</v>
      </c>
      <c r="C178">
        <v>0.04</v>
      </c>
    </row>
    <row r="179" spans="1:3" x14ac:dyDescent="0.25">
      <c r="A179" s="2">
        <v>178</v>
      </c>
      <c r="B179">
        <v>1.4876800000000001E-2</v>
      </c>
      <c r="C179">
        <v>0.04</v>
      </c>
    </row>
    <row r="180" spans="1:3" x14ac:dyDescent="0.25">
      <c r="A180" s="2">
        <v>179</v>
      </c>
      <c r="B180">
        <v>1.4284199999999999E-2</v>
      </c>
      <c r="C180">
        <v>0.04</v>
      </c>
    </row>
    <row r="181" spans="1:3" x14ac:dyDescent="0.25">
      <c r="A181" s="2">
        <v>180</v>
      </c>
      <c r="B181">
        <v>1.6400000000000001E-2</v>
      </c>
      <c r="C181">
        <v>0.04</v>
      </c>
    </row>
    <row r="182" spans="1:3" x14ac:dyDescent="0.25">
      <c r="A182" s="2">
        <v>181</v>
      </c>
      <c r="B182">
        <v>1.6524199999999999E-2</v>
      </c>
      <c r="C182">
        <v>0.04</v>
      </c>
    </row>
    <row r="183" spans="1:3" x14ac:dyDescent="0.25">
      <c r="A183" s="2">
        <v>182</v>
      </c>
      <c r="B183">
        <v>1.6956800000000001E-2</v>
      </c>
      <c r="C183">
        <v>0.04</v>
      </c>
    </row>
    <row r="184" spans="1:3" x14ac:dyDescent="0.25">
      <c r="A184" s="2">
        <v>183</v>
      </c>
      <c r="B184">
        <v>1.6897800000000001E-2</v>
      </c>
      <c r="C184">
        <v>0.04</v>
      </c>
    </row>
    <row r="185" spans="1:3" x14ac:dyDescent="0.25">
      <c r="A185" s="2">
        <v>184</v>
      </c>
      <c r="B185">
        <v>1.61472E-2</v>
      </c>
      <c r="C185">
        <v>0.04</v>
      </c>
    </row>
    <row r="186" spans="1:3" x14ac:dyDescent="0.25">
      <c r="A186" s="2">
        <v>185</v>
      </c>
      <c r="B186">
        <v>1.8905000000000002E-2</v>
      </c>
      <c r="C186">
        <v>0.04</v>
      </c>
    </row>
    <row r="187" spans="1:3" x14ac:dyDescent="0.25">
      <c r="A187" s="2">
        <v>186</v>
      </c>
      <c r="B187">
        <v>1.72712E-2</v>
      </c>
      <c r="C187">
        <v>0.04</v>
      </c>
    </row>
    <row r="188" spans="1:3" x14ac:dyDescent="0.25">
      <c r="A188" s="2">
        <v>187</v>
      </c>
      <c r="B188">
        <v>1.8945800000000002E-2</v>
      </c>
      <c r="C188">
        <v>0.04</v>
      </c>
    </row>
    <row r="189" spans="1:3" x14ac:dyDescent="0.25">
      <c r="A189" s="2">
        <v>188</v>
      </c>
      <c r="B189">
        <v>2.0328800000000001E-2</v>
      </c>
      <c r="C189">
        <v>0.04</v>
      </c>
    </row>
    <row r="190" spans="1:3" x14ac:dyDescent="0.25">
      <c r="A190" s="2">
        <v>189</v>
      </c>
      <c r="B190">
        <v>2.09202E-2</v>
      </c>
      <c r="C190">
        <v>0.04</v>
      </c>
    </row>
    <row r="191" spans="1:3" x14ac:dyDescent="0.25">
      <c r="A191" s="2">
        <v>190</v>
      </c>
      <c r="B191">
        <v>2.0119999999999999E-2</v>
      </c>
      <c r="C191">
        <v>0.04</v>
      </c>
    </row>
    <row r="192" spans="1:3" x14ac:dyDescent="0.25">
      <c r="A192" s="2">
        <v>191</v>
      </c>
      <c r="B192">
        <v>1.9728200000000001E-2</v>
      </c>
      <c r="C192">
        <v>0.04</v>
      </c>
    </row>
    <row r="193" spans="1:3" x14ac:dyDescent="0.25">
      <c r="A193" s="2">
        <v>192</v>
      </c>
      <c r="B193">
        <v>2.08448E-2</v>
      </c>
      <c r="C193">
        <v>0.04</v>
      </c>
    </row>
    <row r="194" spans="1:3" x14ac:dyDescent="0.25">
      <c r="A194" s="2">
        <v>193</v>
      </c>
      <c r="B194">
        <v>2.1369800000000001E-2</v>
      </c>
      <c r="C194">
        <v>0.04</v>
      </c>
    </row>
    <row r="195" spans="1:3" x14ac:dyDescent="0.25">
      <c r="A195" s="2">
        <v>194</v>
      </c>
      <c r="B195">
        <v>2.2803200000000003E-2</v>
      </c>
      <c r="C195">
        <v>0.04</v>
      </c>
    </row>
    <row r="196" spans="1:3" x14ac:dyDescent="0.25">
      <c r="A196" s="2">
        <v>195</v>
      </c>
      <c r="B196">
        <v>2.1245000000000003E-2</v>
      </c>
      <c r="C196">
        <v>0.04</v>
      </c>
    </row>
    <row r="197" spans="1:3" x14ac:dyDescent="0.25">
      <c r="A197" s="2">
        <v>196</v>
      </c>
      <c r="B197">
        <v>2.2995200000000004E-2</v>
      </c>
      <c r="C197">
        <v>0.04</v>
      </c>
    </row>
    <row r="198" spans="1:3" x14ac:dyDescent="0.25">
      <c r="A198" s="2">
        <v>197</v>
      </c>
      <c r="B198">
        <v>2.3253800000000005E-2</v>
      </c>
      <c r="C198">
        <v>0.04</v>
      </c>
    </row>
    <row r="199" spans="1:3" x14ac:dyDescent="0.25">
      <c r="A199" s="2">
        <v>198</v>
      </c>
      <c r="B199">
        <v>2.4820800000000007E-2</v>
      </c>
      <c r="C199">
        <v>0.04</v>
      </c>
    </row>
    <row r="200" spans="1:3" x14ac:dyDescent="0.25">
      <c r="A200" s="2">
        <v>199</v>
      </c>
      <c r="B200">
        <v>2.5096199999999999E-2</v>
      </c>
      <c r="C200">
        <v>0.04</v>
      </c>
    </row>
    <row r="201" spans="1:3" x14ac:dyDescent="0.25">
      <c r="A201" s="2">
        <v>200</v>
      </c>
      <c r="B201">
        <v>2.6179999999999998E-2</v>
      </c>
      <c r="C201">
        <v>0.04</v>
      </c>
    </row>
    <row r="202" spans="1:3" x14ac:dyDescent="0.25">
      <c r="A202" s="2" t="s">
        <v>14</v>
      </c>
      <c r="B202">
        <v>1.6668464230769234E-2</v>
      </c>
      <c r="C202">
        <v>8.0000000000000053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AE8B-DD28-408D-86F7-57C8D20E3DB6}">
  <dimension ref="A1:D19"/>
  <sheetViews>
    <sheetView workbookViewId="0">
      <selection activeCell="A12" sqref="A12"/>
    </sheetView>
  </sheetViews>
  <sheetFormatPr baseColWidth="10" defaultRowHeight="15" x14ac:dyDescent="0.25"/>
  <cols>
    <col min="1" max="1" width="22.7109375" bestFit="1" customWidth="1"/>
    <col min="2" max="2" width="24.140625" bestFit="1" customWidth="1"/>
    <col min="3" max="3" width="8.5703125" bestFit="1" customWidth="1"/>
    <col min="4" max="4" width="15.85546875" bestFit="1" customWidth="1"/>
    <col min="5" max="7" width="7" bestFit="1" customWidth="1"/>
    <col min="8" max="8" width="6" bestFit="1" customWidth="1"/>
    <col min="9" max="26" width="7" bestFit="1" customWidth="1"/>
    <col min="27" max="27" width="6" bestFit="1" customWidth="1"/>
    <col min="28" max="51" width="7" bestFit="1" customWidth="1"/>
    <col min="52" max="52" width="6" bestFit="1" customWidth="1"/>
    <col min="53" max="69" width="7" bestFit="1" customWidth="1"/>
    <col min="70" max="70" width="6" bestFit="1" customWidth="1"/>
    <col min="71" max="76" width="7" bestFit="1" customWidth="1"/>
    <col min="77" max="77" width="6" bestFit="1" customWidth="1"/>
    <col min="78" max="81" width="7" bestFit="1" customWidth="1"/>
    <col min="82" max="82" width="6" bestFit="1" customWidth="1"/>
    <col min="83" max="109" width="7" bestFit="1" customWidth="1"/>
    <col min="110" max="110" width="5" bestFit="1" customWidth="1"/>
    <col min="111" max="116" width="7" bestFit="1" customWidth="1"/>
    <col min="117" max="117" width="6" bestFit="1" customWidth="1"/>
    <col min="118" max="119" width="7" bestFit="1" customWidth="1"/>
    <col min="120" max="120" width="6" bestFit="1" customWidth="1"/>
    <col min="121" max="155" width="7" bestFit="1" customWidth="1"/>
    <col min="156" max="156" width="6" bestFit="1" customWidth="1"/>
    <col min="157" max="169" width="7" bestFit="1" customWidth="1"/>
    <col min="170" max="170" width="6" bestFit="1" customWidth="1"/>
    <col min="171" max="171" width="7" bestFit="1" customWidth="1"/>
    <col min="172" max="172" width="6" bestFit="1" customWidth="1"/>
    <col min="173" max="188" width="7" bestFit="1" customWidth="1"/>
    <col min="189" max="189" width="15.85546875" bestFit="1" customWidth="1"/>
  </cols>
  <sheetData>
    <row r="1" spans="1:4" x14ac:dyDescent="0.25">
      <c r="A1" t="s">
        <v>26</v>
      </c>
    </row>
    <row r="2" spans="1:4" x14ac:dyDescent="0.25">
      <c r="A2" t="s">
        <v>28</v>
      </c>
    </row>
    <row r="3" spans="1:4" x14ac:dyDescent="0.25">
      <c r="A3" s="3" t="s">
        <v>24</v>
      </c>
      <c r="B3" s="3" t="s">
        <v>13</v>
      </c>
    </row>
    <row r="4" spans="1:4" x14ac:dyDescent="0.25">
      <c r="A4" s="3" t="s">
        <v>15</v>
      </c>
      <c r="B4" t="s">
        <v>2</v>
      </c>
      <c r="C4" t="s">
        <v>3</v>
      </c>
      <c r="D4" t="s">
        <v>14</v>
      </c>
    </row>
    <row r="5" spans="1:4" x14ac:dyDescent="0.25">
      <c r="A5" s="6" t="s">
        <v>32</v>
      </c>
      <c r="B5">
        <v>6</v>
      </c>
      <c r="C5">
        <v>1</v>
      </c>
      <c r="D5">
        <v>7</v>
      </c>
    </row>
    <row r="6" spans="1:4" x14ac:dyDescent="0.25">
      <c r="A6" s="6" t="s">
        <v>33</v>
      </c>
      <c r="B6">
        <v>10</v>
      </c>
      <c r="C6">
        <v>14</v>
      </c>
      <c r="D6">
        <v>24</v>
      </c>
    </row>
    <row r="7" spans="1:4" x14ac:dyDescent="0.25">
      <c r="A7" s="6" t="s">
        <v>34</v>
      </c>
      <c r="B7">
        <v>7</v>
      </c>
      <c r="C7">
        <v>8</v>
      </c>
      <c r="D7">
        <v>15</v>
      </c>
    </row>
    <row r="8" spans="1:4" x14ac:dyDescent="0.25">
      <c r="A8" s="6" t="s">
        <v>35</v>
      </c>
      <c r="B8">
        <v>14</v>
      </c>
      <c r="C8">
        <v>12</v>
      </c>
      <c r="D8">
        <v>26</v>
      </c>
    </row>
    <row r="9" spans="1:4" x14ac:dyDescent="0.25">
      <c r="A9" s="6" t="s">
        <v>36</v>
      </c>
      <c r="B9">
        <v>9</v>
      </c>
      <c r="C9">
        <v>8</v>
      </c>
      <c r="D9">
        <v>17</v>
      </c>
    </row>
    <row r="10" spans="1:4" x14ac:dyDescent="0.25">
      <c r="A10" s="6" t="s">
        <v>37</v>
      </c>
      <c r="B10">
        <v>8</v>
      </c>
      <c r="C10">
        <v>11</v>
      </c>
      <c r="D10">
        <v>19</v>
      </c>
    </row>
    <row r="11" spans="1:4" x14ac:dyDescent="0.25">
      <c r="A11" s="6" t="s">
        <v>38</v>
      </c>
      <c r="B11">
        <v>11</v>
      </c>
      <c r="C11">
        <v>13</v>
      </c>
      <c r="D11">
        <v>24</v>
      </c>
    </row>
    <row r="12" spans="1:4" x14ac:dyDescent="0.25">
      <c r="A12" s="6" t="s">
        <v>39</v>
      </c>
      <c r="B12">
        <v>13</v>
      </c>
      <c r="C12">
        <v>3</v>
      </c>
      <c r="D12">
        <v>16</v>
      </c>
    </row>
    <row r="13" spans="1:4" x14ac:dyDescent="0.25">
      <c r="A13" s="6" t="s">
        <v>40</v>
      </c>
      <c r="B13">
        <v>10</v>
      </c>
      <c r="D13">
        <v>10</v>
      </c>
    </row>
    <row r="14" spans="1:4" x14ac:dyDescent="0.25">
      <c r="A14" s="6" t="s">
        <v>41</v>
      </c>
      <c r="B14">
        <v>8</v>
      </c>
      <c r="D14">
        <v>8</v>
      </c>
    </row>
    <row r="15" spans="1:4" x14ac:dyDescent="0.25">
      <c r="A15" s="6" t="s">
        <v>42</v>
      </c>
      <c r="B15">
        <v>10</v>
      </c>
      <c r="D15">
        <v>10</v>
      </c>
    </row>
    <row r="16" spans="1:4" x14ac:dyDescent="0.25">
      <c r="A16" s="6" t="s">
        <v>43</v>
      </c>
      <c r="B16">
        <v>9</v>
      </c>
      <c r="D16">
        <v>9</v>
      </c>
    </row>
    <row r="17" spans="1:4" x14ac:dyDescent="0.25">
      <c r="A17" s="6" t="s">
        <v>44</v>
      </c>
      <c r="B17">
        <v>10</v>
      </c>
      <c r="D17">
        <v>10</v>
      </c>
    </row>
    <row r="18" spans="1:4" x14ac:dyDescent="0.25">
      <c r="A18" s="6" t="s">
        <v>45</v>
      </c>
      <c r="B18">
        <v>5</v>
      </c>
      <c r="D18">
        <v>5</v>
      </c>
    </row>
    <row r="19" spans="1:4" x14ac:dyDescent="0.25">
      <c r="A19" s="7" t="s">
        <v>14</v>
      </c>
      <c r="B19">
        <v>130</v>
      </c>
      <c r="C19">
        <v>70</v>
      </c>
      <c r="D19">
        <v>200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0DD9-DE98-48E2-9536-D03049410028}">
  <dimension ref="A1:C204"/>
  <sheetViews>
    <sheetView workbookViewId="0">
      <selection activeCell="B7" sqref="B7"/>
    </sheetView>
  </sheetViews>
  <sheetFormatPr baseColWidth="10" defaultRowHeight="15" x14ac:dyDescent="0.25"/>
  <cols>
    <col min="1" max="1" width="22.7109375" bestFit="1" customWidth="1"/>
    <col min="2" max="2" width="24.140625" bestFit="1" customWidth="1"/>
    <col min="3" max="3" width="22.42578125" bestFit="1" customWidth="1"/>
  </cols>
  <sheetData>
    <row r="1" spans="1:3" x14ac:dyDescent="0.25">
      <c r="A1" t="s">
        <v>25</v>
      </c>
    </row>
    <row r="2" spans="1:3" x14ac:dyDescent="0.25">
      <c r="A2" t="s">
        <v>29</v>
      </c>
    </row>
    <row r="3" spans="1:3" x14ac:dyDescent="0.25">
      <c r="A3" s="3" t="s">
        <v>15</v>
      </c>
      <c r="B3" t="s">
        <v>46</v>
      </c>
      <c r="C3" t="s">
        <v>31</v>
      </c>
    </row>
    <row r="4" spans="1:3" x14ac:dyDescent="0.25">
      <c r="A4" s="2">
        <v>1</v>
      </c>
      <c r="B4">
        <v>3.5</v>
      </c>
      <c r="C4">
        <v>3.5</v>
      </c>
    </row>
    <row r="5" spans="1:3" x14ac:dyDescent="0.25">
      <c r="A5" s="2">
        <v>2</v>
      </c>
      <c r="B5">
        <v>3.5</v>
      </c>
      <c r="C5">
        <v>7</v>
      </c>
    </row>
    <row r="6" spans="1:3" x14ac:dyDescent="0.25">
      <c r="A6" s="2">
        <v>3</v>
      </c>
      <c r="B6">
        <v>4.5</v>
      </c>
      <c r="C6">
        <v>11.5</v>
      </c>
    </row>
    <row r="7" spans="1:3" x14ac:dyDescent="0.25">
      <c r="A7" s="2">
        <v>4</v>
      </c>
      <c r="B7">
        <v>4</v>
      </c>
      <c r="C7">
        <v>15.5</v>
      </c>
    </row>
    <row r="8" spans="1:3" x14ac:dyDescent="0.25">
      <c r="A8" s="2">
        <v>5</v>
      </c>
      <c r="B8">
        <v>1.5</v>
      </c>
      <c r="C8">
        <v>17</v>
      </c>
    </row>
    <row r="9" spans="1:3" x14ac:dyDescent="0.25">
      <c r="A9" s="2">
        <v>6</v>
      </c>
      <c r="B9">
        <v>5.5</v>
      </c>
      <c r="C9">
        <v>22.5</v>
      </c>
    </row>
    <row r="10" spans="1:3" x14ac:dyDescent="0.25">
      <c r="A10" s="2">
        <v>7</v>
      </c>
      <c r="B10">
        <v>3.5</v>
      </c>
      <c r="C10">
        <v>26</v>
      </c>
    </row>
    <row r="11" spans="1:3" x14ac:dyDescent="0.25">
      <c r="A11" s="2">
        <v>8</v>
      </c>
      <c r="B11">
        <v>4.5</v>
      </c>
      <c r="C11">
        <v>30.5</v>
      </c>
    </row>
    <row r="12" spans="1:3" x14ac:dyDescent="0.25">
      <c r="A12" s="2">
        <v>9</v>
      </c>
      <c r="B12">
        <v>4</v>
      </c>
      <c r="C12">
        <v>34.5</v>
      </c>
    </row>
    <row r="13" spans="1:3" x14ac:dyDescent="0.25">
      <c r="A13" s="2">
        <v>10</v>
      </c>
      <c r="B13">
        <v>1.5</v>
      </c>
      <c r="C13">
        <v>36</v>
      </c>
    </row>
    <row r="14" spans="1:3" x14ac:dyDescent="0.25">
      <c r="A14" s="2">
        <v>11</v>
      </c>
      <c r="B14">
        <v>3.5</v>
      </c>
      <c r="C14">
        <v>39.5</v>
      </c>
    </row>
    <row r="15" spans="1:3" x14ac:dyDescent="0.25">
      <c r="A15" s="2">
        <v>12</v>
      </c>
      <c r="B15">
        <v>2</v>
      </c>
      <c r="C15">
        <v>41.5</v>
      </c>
    </row>
    <row r="16" spans="1:3" x14ac:dyDescent="0.25">
      <c r="A16" s="2">
        <v>13</v>
      </c>
      <c r="B16">
        <v>3.5</v>
      </c>
      <c r="C16">
        <v>45</v>
      </c>
    </row>
    <row r="17" spans="1:3" x14ac:dyDescent="0.25">
      <c r="A17" s="2">
        <v>14</v>
      </c>
      <c r="B17">
        <v>2</v>
      </c>
      <c r="C17">
        <v>47</v>
      </c>
    </row>
    <row r="18" spans="1:3" x14ac:dyDescent="0.25">
      <c r="A18" s="2">
        <v>15</v>
      </c>
      <c r="B18">
        <v>4</v>
      </c>
      <c r="C18">
        <v>51</v>
      </c>
    </row>
    <row r="19" spans="1:3" x14ac:dyDescent="0.25">
      <c r="A19" s="2">
        <v>16</v>
      </c>
      <c r="B19">
        <v>5.5</v>
      </c>
      <c r="C19">
        <v>56.5</v>
      </c>
    </row>
    <row r="20" spans="1:3" x14ac:dyDescent="0.25">
      <c r="A20" s="2">
        <v>17</v>
      </c>
      <c r="B20">
        <v>3</v>
      </c>
      <c r="C20">
        <v>59.5</v>
      </c>
    </row>
    <row r="21" spans="1:3" x14ac:dyDescent="0.25">
      <c r="A21" s="2">
        <v>18</v>
      </c>
      <c r="B21">
        <v>2</v>
      </c>
      <c r="C21">
        <v>61.5</v>
      </c>
    </row>
    <row r="22" spans="1:3" x14ac:dyDescent="0.25">
      <c r="A22" s="2">
        <v>19</v>
      </c>
      <c r="B22">
        <v>3.5</v>
      </c>
      <c r="C22">
        <v>65</v>
      </c>
    </row>
    <row r="23" spans="1:3" x14ac:dyDescent="0.25">
      <c r="A23" s="2">
        <v>20</v>
      </c>
      <c r="B23">
        <v>4.5</v>
      </c>
      <c r="C23">
        <v>69.5</v>
      </c>
    </row>
    <row r="24" spans="1:3" x14ac:dyDescent="0.25">
      <c r="A24" s="2">
        <v>21</v>
      </c>
      <c r="B24">
        <v>3.5</v>
      </c>
      <c r="C24">
        <v>73</v>
      </c>
    </row>
    <row r="25" spans="1:3" x14ac:dyDescent="0.25">
      <c r="A25" s="2">
        <v>22</v>
      </c>
      <c r="B25">
        <v>4.5</v>
      </c>
      <c r="C25">
        <v>77.5</v>
      </c>
    </row>
    <row r="26" spans="1:3" x14ac:dyDescent="0.25">
      <c r="A26" s="2">
        <v>23</v>
      </c>
      <c r="B26">
        <v>4.5</v>
      </c>
      <c r="C26">
        <v>82</v>
      </c>
    </row>
    <row r="27" spans="1:3" x14ac:dyDescent="0.25">
      <c r="A27" s="2">
        <v>24</v>
      </c>
      <c r="B27">
        <v>5</v>
      </c>
      <c r="C27">
        <v>87</v>
      </c>
    </row>
    <row r="28" spans="1:3" x14ac:dyDescent="0.25">
      <c r="A28" s="2">
        <v>25</v>
      </c>
      <c r="B28">
        <v>3.5</v>
      </c>
      <c r="C28">
        <v>90.5</v>
      </c>
    </row>
    <row r="29" spans="1:3" x14ac:dyDescent="0.25">
      <c r="A29" s="2">
        <v>26</v>
      </c>
      <c r="B29">
        <v>5</v>
      </c>
      <c r="C29">
        <v>95.5</v>
      </c>
    </row>
    <row r="30" spans="1:3" x14ac:dyDescent="0.25">
      <c r="A30" s="2">
        <v>27</v>
      </c>
      <c r="B30">
        <v>2</v>
      </c>
      <c r="C30">
        <v>97.5</v>
      </c>
    </row>
    <row r="31" spans="1:3" x14ac:dyDescent="0.25">
      <c r="A31" s="2">
        <v>28</v>
      </c>
      <c r="B31">
        <v>5</v>
      </c>
      <c r="C31">
        <v>102.5</v>
      </c>
    </row>
    <row r="32" spans="1:3" x14ac:dyDescent="0.25">
      <c r="A32" s="2">
        <v>29</v>
      </c>
      <c r="B32">
        <v>2</v>
      </c>
      <c r="C32">
        <v>104.5</v>
      </c>
    </row>
    <row r="33" spans="1:3" x14ac:dyDescent="0.25">
      <c r="A33" s="2">
        <v>30</v>
      </c>
      <c r="B33">
        <v>4.5</v>
      </c>
      <c r="C33">
        <v>109</v>
      </c>
    </row>
    <row r="34" spans="1:3" x14ac:dyDescent="0.25">
      <c r="A34" s="2">
        <v>31</v>
      </c>
      <c r="B34">
        <v>4</v>
      </c>
      <c r="C34">
        <v>113</v>
      </c>
    </row>
    <row r="35" spans="1:3" x14ac:dyDescent="0.25">
      <c r="A35" s="2">
        <v>32</v>
      </c>
      <c r="B35">
        <v>5</v>
      </c>
      <c r="C35">
        <v>118</v>
      </c>
    </row>
    <row r="36" spans="1:3" x14ac:dyDescent="0.25">
      <c r="A36" s="2">
        <v>33</v>
      </c>
      <c r="B36">
        <v>4</v>
      </c>
      <c r="C36">
        <v>122</v>
      </c>
    </row>
    <row r="37" spans="1:3" x14ac:dyDescent="0.25">
      <c r="A37" s="2">
        <v>34</v>
      </c>
      <c r="B37">
        <v>2</v>
      </c>
      <c r="C37">
        <v>124</v>
      </c>
    </row>
    <row r="38" spans="1:3" x14ac:dyDescent="0.25">
      <c r="A38" s="2">
        <v>35</v>
      </c>
      <c r="B38">
        <v>4.5</v>
      </c>
      <c r="C38">
        <v>128.5</v>
      </c>
    </row>
    <row r="39" spans="1:3" x14ac:dyDescent="0.25">
      <c r="A39" s="2">
        <v>36</v>
      </c>
      <c r="B39">
        <v>0.5</v>
      </c>
      <c r="C39">
        <v>129</v>
      </c>
    </row>
    <row r="40" spans="1:3" x14ac:dyDescent="0.25">
      <c r="A40" s="2">
        <v>37</v>
      </c>
      <c r="B40">
        <v>3.5</v>
      </c>
      <c r="C40">
        <v>132.5</v>
      </c>
    </row>
    <row r="41" spans="1:3" x14ac:dyDescent="0.25">
      <c r="A41" s="2">
        <v>38</v>
      </c>
      <c r="B41">
        <v>2</v>
      </c>
      <c r="C41">
        <v>134.5</v>
      </c>
    </row>
    <row r="42" spans="1:3" x14ac:dyDescent="0.25">
      <c r="A42" s="2">
        <v>39</v>
      </c>
      <c r="B42">
        <v>1.5</v>
      </c>
      <c r="C42">
        <v>136</v>
      </c>
    </row>
    <row r="43" spans="1:3" x14ac:dyDescent="0.25">
      <c r="A43" s="2">
        <v>40</v>
      </c>
      <c r="B43">
        <v>6</v>
      </c>
      <c r="C43">
        <v>142</v>
      </c>
    </row>
    <row r="44" spans="1:3" x14ac:dyDescent="0.25">
      <c r="A44" s="2">
        <v>41</v>
      </c>
      <c r="B44">
        <v>4.5</v>
      </c>
      <c r="C44">
        <v>146.5</v>
      </c>
    </row>
    <row r="45" spans="1:3" x14ac:dyDescent="0.25">
      <c r="A45" s="2">
        <v>42</v>
      </c>
      <c r="B45">
        <v>0.5</v>
      </c>
      <c r="C45">
        <v>147</v>
      </c>
    </row>
    <row r="46" spans="1:3" x14ac:dyDescent="0.25">
      <c r="A46" s="2">
        <v>43</v>
      </c>
      <c r="B46">
        <v>3</v>
      </c>
      <c r="C46">
        <v>150</v>
      </c>
    </row>
    <row r="47" spans="1:3" x14ac:dyDescent="0.25">
      <c r="A47" s="2">
        <v>44</v>
      </c>
      <c r="B47">
        <v>0</v>
      </c>
      <c r="C47">
        <v>150</v>
      </c>
    </row>
    <row r="48" spans="1:3" x14ac:dyDescent="0.25">
      <c r="A48" s="2">
        <v>45</v>
      </c>
      <c r="B48">
        <v>6</v>
      </c>
      <c r="C48">
        <v>156</v>
      </c>
    </row>
    <row r="49" spans="1:3" x14ac:dyDescent="0.25">
      <c r="A49" s="2">
        <v>46</v>
      </c>
      <c r="B49">
        <v>5.5</v>
      </c>
      <c r="C49">
        <v>161.5</v>
      </c>
    </row>
    <row r="50" spans="1:3" x14ac:dyDescent="0.25">
      <c r="A50" s="2">
        <v>47</v>
      </c>
      <c r="B50">
        <v>2</v>
      </c>
      <c r="C50">
        <v>163.5</v>
      </c>
    </row>
    <row r="51" spans="1:3" x14ac:dyDescent="0.25">
      <c r="A51" s="2">
        <v>48</v>
      </c>
      <c r="B51">
        <v>4.5</v>
      </c>
      <c r="C51">
        <v>168</v>
      </c>
    </row>
    <row r="52" spans="1:3" x14ac:dyDescent="0.25">
      <c r="A52" s="2">
        <v>49</v>
      </c>
      <c r="B52">
        <v>2</v>
      </c>
      <c r="C52">
        <v>170</v>
      </c>
    </row>
    <row r="53" spans="1:3" x14ac:dyDescent="0.25">
      <c r="A53" s="2">
        <v>50</v>
      </c>
      <c r="B53">
        <v>4.5</v>
      </c>
      <c r="C53">
        <v>174.5</v>
      </c>
    </row>
    <row r="54" spans="1:3" x14ac:dyDescent="0.25">
      <c r="A54" s="2">
        <v>51</v>
      </c>
      <c r="B54">
        <v>4.5</v>
      </c>
      <c r="C54">
        <v>179</v>
      </c>
    </row>
    <row r="55" spans="1:3" x14ac:dyDescent="0.25">
      <c r="A55" s="2">
        <v>52</v>
      </c>
      <c r="B55">
        <v>3</v>
      </c>
      <c r="C55">
        <v>182</v>
      </c>
    </row>
    <row r="56" spans="1:3" x14ac:dyDescent="0.25">
      <c r="A56" s="2">
        <v>53</v>
      </c>
      <c r="B56">
        <v>1</v>
      </c>
      <c r="C56">
        <v>183</v>
      </c>
    </row>
    <row r="57" spans="1:3" x14ac:dyDescent="0.25">
      <c r="A57" s="2">
        <v>54</v>
      </c>
      <c r="B57">
        <v>1.5</v>
      </c>
      <c r="C57">
        <v>184.5</v>
      </c>
    </row>
    <row r="58" spans="1:3" x14ac:dyDescent="0.25">
      <c r="A58" s="2">
        <v>55</v>
      </c>
      <c r="B58">
        <v>2.5</v>
      </c>
      <c r="C58">
        <v>187</v>
      </c>
    </row>
    <row r="59" spans="1:3" x14ac:dyDescent="0.25">
      <c r="A59" s="2">
        <v>56</v>
      </c>
      <c r="B59">
        <v>0.5</v>
      </c>
      <c r="C59">
        <v>187.5</v>
      </c>
    </row>
    <row r="60" spans="1:3" x14ac:dyDescent="0.25">
      <c r="A60" s="2">
        <v>57</v>
      </c>
      <c r="B60">
        <v>4.5</v>
      </c>
      <c r="C60">
        <v>192</v>
      </c>
    </row>
    <row r="61" spans="1:3" x14ac:dyDescent="0.25">
      <c r="A61" s="2">
        <v>58</v>
      </c>
      <c r="B61">
        <v>1</v>
      </c>
      <c r="C61">
        <v>193</v>
      </c>
    </row>
    <row r="62" spans="1:3" x14ac:dyDescent="0.25">
      <c r="A62" s="2">
        <v>59</v>
      </c>
      <c r="B62">
        <v>1</v>
      </c>
      <c r="C62">
        <v>194</v>
      </c>
    </row>
    <row r="63" spans="1:3" x14ac:dyDescent="0.25">
      <c r="A63" s="2">
        <v>60</v>
      </c>
      <c r="B63">
        <v>4.5</v>
      </c>
      <c r="C63">
        <v>198.5</v>
      </c>
    </row>
    <row r="64" spans="1:3" x14ac:dyDescent="0.25">
      <c r="A64" s="2">
        <v>61</v>
      </c>
      <c r="B64">
        <v>5</v>
      </c>
      <c r="C64">
        <v>203.5</v>
      </c>
    </row>
    <row r="65" spans="1:3" x14ac:dyDescent="0.25">
      <c r="A65" s="2">
        <v>62</v>
      </c>
      <c r="B65">
        <v>3.5</v>
      </c>
      <c r="C65">
        <v>207</v>
      </c>
    </row>
    <row r="66" spans="1:3" x14ac:dyDescent="0.25">
      <c r="A66" s="2">
        <v>63</v>
      </c>
      <c r="B66">
        <v>4.5</v>
      </c>
      <c r="C66">
        <v>211.5</v>
      </c>
    </row>
    <row r="67" spans="1:3" x14ac:dyDescent="0.25">
      <c r="A67" s="2">
        <v>64</v>
      </c>
      <c r="B67">
        <v>3.5</v>
      </c>
      <c r="C67">
        <v>215</v>
      </c>
    </row>
    <row r="68" spans="1:3" x14ac:dyDescent="0.25">
      <c r="A68" s="2">
        <v>65</v>
      </c>
      <c r="B68">
        <v>1</v>
      </c>
      <c r="C68">
        <v>216</v>
      </c>
    </row>
    <row r="69" spans="1:3" x14ac:dyDescent="0.25">
      <c r="A69" s="2">
        <v>66</v>
      </c>
      <c r="B69">
        <v>3.5</v>
      </c>
      <c r="C69">
        <v>219.5</v>
      </c>
    </row>
    <row r="70" spans="1:3" x14ac:dyDescent="0.25">
      <c r="A70" s="2">
        <v>67</v>
      </c>
      <c r="B70">
        <v>1</v>
      </c>
      <c r="C70">
        <v>220.5</v>
      </c>
    </row>
    <row r="71" spans="1:3" x14ac:dyDescent="0.25">
      <c r="A71" s="2">
        <v>68</v>
      </c>
      <c r="B71">
        <v>4</v>
      </c>
      <c r="C71">
        <v>224.5</v>
      </c>
    </row>
    <row r="72" spans="1:3" x14ac:dyDescent="0.25">
      <c r="A72" s="2">
        <v>69</v>
      </c>
      <c r="B72">
        <v>4</v>
      </c>
      <c r="C72">
        <v>228.5</v>
      </c>
    </row>
    <row r="73" spans="1:3" x14ac:dyDescent="0.25">
      <c r="A73" s="2">
        <v>70</v>
      </c>
      <c r="B73">
        <v>5.5</v>
      </c>
      <c r="C73">
        <v>234</v>
      </c>
    </row>
    <row r="74" spans="1:3" x14ac:dyDescent="0.25">
      <c r="A74" s="2">
        <v>71</v>
      </c>
      <c r="B74">
        <v>3.5</v>
      </c>
      <c r="C74">
        <v>237.5</v>
      </c>
    </row>
    <row r="75" spans="1:3" x14ac:dyDescent="0.25">
      <c r="A75" s="2">
        <v>72</v>
      </c>
      <c r="B75">
        <v>5</v>
      </c>
      <c r="C75">
        <v>242.5</v>
      </c>
    </row>
    <row r="76" spans="1:3" x14ac:dyDescent="0.25">
      <c r="A76" s="2">
        <v>73</v>
      </c>
      <c r="B76">
        <v>4.5</v>
      </c>
      <c r="C76">
        <v>247</v>
      </c>
    </row>
    <row r="77" spans="1:3" x14ac:dyDescent="0.25">
      <c r="A77" s="2">
        <v>74</v>
      </c>
      <c r="B77">
        <v>5</v>
      </c>
      <c r="C77">
        <v>252</v>
      </c>
    </row>
    <row r="78" spans="1:3" x14ac:dyDescent="0.25">
      <c r="A78" s="2">
        <v>75</v>
      </c>
      <c r="B78">
        <v>3.5</v>
      </c>
      <c r="C78">
        <v>255.5</v>
      </c>
    </row>
    <row r="79" spans="1:3" x14ac:dyDescent="0.25">
      <c r="A79" s="2">
        <v>76</v>
      </c>
      <c r="B79">
        <v>1</v>
      </c>
      <c r="C79">
        <v>256.5</v>
      </c>
    </row>
    <row r="80" spans="1:3" x14ac:dyDescent="0.25">
      <c r="A80" s="2">
        <v>77</v>
      </c>
      <c r="B80">
        <v>4.5</v>
      </c>
      <c r="C80">
        <v>261</v>
      </c>
    </row>
    <row r="81" spans="1:3" x14ac:dyDescent="0.25">
      <c r="A81" s="2">
        <v>78</v>
      </c>
      <c r="B81">
        <v>5.5</v>
      </c>
      <c r="C81">
        <v>266.5</v>
      </c>
    </row>
    <row r="82" spans="1:3" x14ac:dyDescent="0.25">
      <c r="A82" s="2">
        <v>79</v>
      </c>
      <c r="B82">
        <v>4.5</v>
      </c>
      <c r="C82">
        <v>271</v>
      </c>
    </row>
    <row r="83" spans="1:3" x14ac:dyDescent="0.25">
      <c r="A83" s="2">
        <v>80</v>
      </c>
      <c r="B83">
        <v>6</v>
      </c>
      <c r="C83">
        <v>277</v>
      </c>
    </row>
    <row r="84" spans="1:3" x14ac:dyDescent="0.25">
      <c r="A84" s="2">
        <v>81</v>
      </c>
      <c r="B84">
        <v>5</v>
      </c>
      <c r="C84">
        <v>282</v>
      </c>
    </row>
    <row r="85" spans="1:3" x14ac:dyDescent="0.25">
      <c r="A85" s="2">
        <v>82</v>
      </c>
      <c r="B85">
        <v>0.5</v>
      </c>
      <c r="C85">
        <v>282.5</v>
      </c>
    </row>
    <row r="86" spans="1:3" x14ac:dyDescent="0.25">
      <c r="A86" s="2">
        <v>83</v>
      </c>
      <c r="B86">
        <v>5.5</v>
      </c>
      <c r="C86">
        <v>288</v>
      </c>
    </row>
    <row r="87" spans="1:3" x14ac:dyDescent="0.25">
      <c r="A87" s="2">
        <v>84</v>
      </c>
      <c r="B87">
        <v>3.5</v>
      </c>
      <c r="C87">
        <v>291.5</v>
      </c>
    </row>
    <row r="88" spans="1:3" x14ac:dyDescent="0.25">
      <c r="A88" s="2">
        <v>85</v>
      </c>
      <c r="B88">
        <v>2.5</v>
      </c>
      <c r="C88">
        <v>294</v>
      </c>
    </row>
    <row r="89" spans="1:3" x14ac:dyDescent="0.25">
      <c r="A89" s="2">
        <v>86</v>
      </c>
      <c r="B89">
        <v>5</v>
      </c>
      <c r="C89">
        <v>299</v>
      </c>
    </row>
    <row r="90" spans="1:3" x14ac:dyDescent="0.25">
      <c r="A90" s="2">
        <v>87</v>
      </c>
      <c r="B90">
        <v>3</v>
      </c>
      <c r="C90">
        <v>302</v>
      </c>
    </row>
    <row r="91" spans="1:3" x14ac:dyDescent="0.25">
      <c r="A91" s="2">
        <v>88</v>
      </c>
      <c r="B91">
        <v>3.5</v>
      </c>
      <c r="C91">
        <v>305.5</v>
      </c>
    </row>
    <row r="92" spans="1:3" x14ac:dyDescent="0.25">
      <c r="A92" s="2">
        <v>89</v>
      </c>
      <c r="B92">
        <v>2.5</v>
      </c>
      <c r="C92">
        <v>308</v>
      </c>
    </row>
    <row r="93" spans="1:3" x14ac:dyDescent="0.25">
      <c r="A93" s="2">
        <v>90</v>
      </c>
      <c r="B93">
        <v>1.5</v>
      </c>
      <c r="C93">
        <v>309.5</v>
      </c>
    </row>
    <row r="94" spans="1:3" x14ac:dyDescent="0.25">
      <c r="A94" s="2">
        <v>91</v>
      </c>
      <c r="B94">
        <v>4</v>
      </c>
      <c r="C94">
        <v>313.5</v>
      </c>
    </row>
    <row r="95" spans="1:3" x14ac:dyDescent="0.25">
      <c r="A95" s="2">
        <v>92</v>
      </c>
      <c r="B95">
        <v>2.5</v>
      </c>
      <c r="C95">
        <v>316</v>
      </c>
    </row>
    <row r="96" spans="1:3" x14ac:dyDescent="0.25">
      <c r="A96" s="2">
        <v>93</v>
      </c>
      <c r="B96">
        <v>5</v>
      </c>
      <c r="C96">
        <v>321</v>
      </c>
    </row>
    <row r="97" spans="1:3" x14ac:dyDescent="0.25">
      <c r="A97" s="2">
        <v>94</v>
      </c>
      <c r="B97">
        <v>3.5</v>
      </c>
      <c r="C97">
        <v>324.5</v>
      </c>
    </row>
    <row r="98" spans="1:3" x14ac:dyDescent="0.25">
      <c r="A98" s="2">
        <v>95</v>
      </c>
      <c r="B98">
        <v>11</v>
      </c>
      <c r="C98">
        <v>335.5</v>
      </c>
    </row>
    <row r="99" spans="1:3" x14ac:dyDescent="0.25">
      <c r="A99" s="2">
        <v>96</v>
      </c>
      <c r="B99">
        <v>13.5</v>
      </c>
      <c r="C99">
        <v>349</v>
      </c>
    </row>
    <row r="100" spans="1:3" x14ac:dyDescent="0.25">
      <c r="A100" s="2">
        <v>97</v>
      </c>
      <c r="B100">
        <v>5</v>
      </c>
      <c r="C100">
        <v>354</v>
      </c>
    </row>
    <row r="101" spans="1:3" x14ac:dyDescent="0.25">
      <c r="A101" s="2">
        <v>98</v>
      </c>
      <c r="B101">
        <v>4.5</v>
      </c>
      <c r="C101">
        <v>358.5</v>
      </c>
    </row>
    <row r="102" spans="1:3" x14ac:dyDescent="0.25">
      <c r="A102" s="2">
        <v>99</v>
      </c>
      <c r="B102">
        <v>11</v>
      </c>
      <c r="C102">
        <v>369.5</v>
      </c>
    </row>
    <row r="103" spans="1:3" x14ac:dyDescent="0.25">
      <c r="A103" s="2">
        <v>100</v>
      </c>
      <c r="B103">
        <v>15</v>
      </c>
      <c r="C103">
        <v>384.5</v>
      </c>
    </row>
    <row r="104" spans="1:3" x14ac:dyDescent="0.25">
      <c r="A104" s="2">
        <v>101</v>
      </c>
      <c r="B104">
        <v>12.5</v>
      </c>
      <c r="C104">
        <v>397</v>
      </c>
    </row>
    <row r="105" spans="1:3" x14ac:dyDescent="0.25">
      <c r="A105" s="2">
        <v>102</v>
      </c>
      <c r="B105">
        <v>13.5</v>
      </c>
      <c r="C105">
        <v>410.5</v>
      </c>
    </row>
    <row r="106" spans="1:3" x14ac:dyDescent="0.25">
      <c r="A106" s="2">
        <v>103</v>
      </c>
      <c r="B106">
        <v>13</v>
      </c>
      <c r="C106">
        <v>423.5</v>
      </c>
    </row>
    <row r="107" spans="1:3" x14ac:dyDescent="0.25">
      <c r="A107" s="2">
        <v>104</v>
      </c>
      <c r="B107">
        <v>14</v>
      </c>
      <c r="C107">
        <v>437.5</v>
      </c>
    </row>
    <row r="108" spans="1:3" x14ac:dyDescent="0.25">
      <c r="A108" s="2">
        <v>105</v>
      </c>
      <c r="B108">
        <v>13</v>
      </c>
      <c r="C108">
        <v>450.5</v>
      </c>
    </row>
    <row r="109" spans="1:3" x14ac:dyDescent="0.25">
      <c r="A109" s="2">
        <v>106</v>
      </c>
      <c r="B109">
        <v>19</v>
      </c>
      <c r="C109">
        <v>469.5</v>
      </c>
    </row>
    <row r="110" spans="1:3" x14ac:dyDescent="0.25">
      <c r="A110" s="2">
        <v>107</v>
      </c>
      <c r="B110">
        <v>17</v>
      </c>
      <c r="C110">
        <v>486.5</v>
      </c>
    </row>
    <row r="111" spans="1:3" x14ac:dyDescent="0.25">
      <c r="A111" s="2">
        <v>108</v>
      </c>
      <c r="B111">
        <v>20.5</v>
      </c>
      <c r="C111">
        <v>507</v>
      </c>
    </row>
    <row r="112" spans="1:3" x14ac:dyDescent="0.25">
      <c r="A112" s="2">
        <v>109</v>
      </c>
      <c r="B112">
        <v>20</v>
      </c>
      <c r="C112">
        <v>527</v>
      </c>
    </row>
    <row r="113" spans="1:3" x14ac:dyDescent="0.25">
      <c r="A113" s="2">
        <v>110</v>
      </c>
      <c r="B113">
        <v>20</v>
      </c>
      <c r="C113">
        <v>547</v>
      </c>
    </row>
    <row r="114" spans="1:3" x14ac:dyDescent="0.25">
      <c r="A114" s="2">
        <v>111</v>
      </c>
      <c r="B114">
        <v>20.5</v>
      </c>
      <c r="C114">
        <v>567.5</v>
      </c>
    </row>
    <row r="115" spans="1:3" x14ac:dyDescent="0.25">
      <c r="A115" s="2">
        <v>112</v>
      </c>
      <c r="B115">
        <v>18.5</v>
      </c>
      <c r="C115">
        <v>586</v>
      </c>
    </row>
    <row r="116" spans="1:3" x14ac:dyDescent="0.25">
      <c r="A116" s="2">
        <v>113</v>
      </c>
      <c r="B116">
        <v>21.5</v>
      </c>
      <c r="C116">
        <v>607.5</v>
      </c>
    </row>
    <row r="117" spans="1:3" x14ac:dyDescent="0.25">
      <c r="A117" s="2">
        <v>114</v>
      </c>
      <c r="B117">
        <v>20.5</v>
      </c>
      <c r="C117">
        <v>628</v>
      </c>
    </row>
    <row r="118" spans="1:3" x14ac:dyDescent="0.25">
      <c r="A118" s="2">
        <v>115</v>
      </c>
      <c r="B118">
        <v>23.5</v>
      </c>
      <c r="C118">
        <v>651.5</v>
      </c>
    </row>
    <row r="119" spans="1:3" x14ac:dyDescent="0.25">
      <c r="A119" s="2">
        <v>116</v>
      </c>
      <c r="B119">
        <v>20.5</v>
      </c>
      <c r="C119">
        <v>672</v>
      </c>
    </row>
    <row r="120" spans="1:3" x14ac:dyDescent="0.25">
      <c r="A120" s="2">
        <v>117</v>
      </c>
      <c r="B120">
        <v>26.5</v>
      </c>
      <c r="C120">
        <v>698.5</v>
      </c>
    </row>
    <row r="121" spans="1:3" x14ac:dyDescent="0.25">
      <c r="A121" s="2">
        <v>118</v>
      </c>
      <c r="B121">
        <v>30</v>
      </c>
      <c r="C121">
        <v>728.5</v>
      </c>
    </row>
    <row r="122" spans="1:3" x14ac:dyDescent="0.25">
      <c r="A122" s="2">
        <v>119</v>
      </c>
      <c r="B122">
        <v>27</v>
      </c>
      <c r="C122">
        <v>755.5</v>
      </c>
    </row>
    <row r="123" spans="1:3" x14ac:dyDescent="0.25">
      <c r="A123" s="2">
        <v>120</v>
      </c>
      <c r="B123">
        <v>22.5</v>
      </c>
      <c r="C123">
        <v>778</v>
      </c>
    </row>
    <row r="124" spans="1:3" x14ac:dyDescent="0.25">
      <c r="A124" s="2">
        <v>121</v>
      </c>
      <c r="B124">
        <v>30</v>
      </c>
      <c r="C124">
        <v>808</v>
      </c>
    </row>
    <row r="125" spans="1:3" x14ac:dyDescent="0.25">
      <c r="A125" s="2">
        <v>122</v>
      </c>
      <c r="B125">
        <v>32</v>
      </c>
      <c r="C125">
        <v>840</v>
      </c>
    </row>
    <row r="126" spans="1:3" x14ac:dyDescent="0.25">
      <c r="A126" s="2">
        <v>123</v>
      </c>
      <c r="B126">
        <v>31</v>
      </c>
      <c r="C126">
        <v>871</v>
      </c>
    </row>
    <row r="127" spans="1:3" x14ac:dyDescent="0.25">
      <c r="A127" s="2">
        <v>124</v>
      </c>
      <c r="B127">
        <v>37.5</v>
      </c>
      <c r="C127">
        <v>908.5</v>
      </c>
    </row>
    <row r="128" spans="1:3" x14ac:dyDescent="0.25">
      <c r="A128" s="2">
        <v>125</v>
      </c>
      <c r="B128">
        <v>34</v>
      </c>
      <c r="C128">
        <v>942.5</v>
      </c>
    </row>
    <row r="129" spans="1:3" x14ac:dyDescent="0.25">
      <c r="A129" s="2">
        <v>126</v>
      </c>
      <c r="B129">
        <v>40</v>
      </c>
      <c r="C129">
        <v>982.5</v>
      </c>
    </row>
    <row r="130" spans="1:3" x14ac:dyDescent="0.25">
      <c r="A130" s="2">
        <v>127</v>
      </c>
      <c r="B130">
        <v>33</v>
      </c>
      <c r="C130">
        <v>1015.5</v>
      </c>
    </row>
    <row r="131" spans="1:3" x14ac:dyDescent="0.25">
      <c r="A131" s="2">
        <v>128</v>
      </c>
      <c r="B131">
        <v>34.5</v>
      </c>
      <c r="C131">
        <v>1050</v>
      </c>
    </row>
    <row r="132" spans="1:3" x14ac:dyDescent="0.25">
      <c r="A132" s="2">
        <v>129</v>
      </c>
      <c r="B132">
        <v>35</v>
      </c>
      <c r="C132">
        <v>1085</v>
      </c>
    </row>
    <row r="133" spans="1:3" x14ac:dyDescent="0.25">
      <c r="A133" s="2">
        <v>130</v>
      </c>
      <c r="B133">
        <v>49</v>
      </c>
      <c r="C133">
        <v>1134</v>
      </c>
    </row>
    <row r="134" spans="1:3" x14ac:dyDescent="0.25">
      <c r="A134" s="2">
        <v>131</v>
      </c>
      <c r="B134">
        <v>5</v>
      </c>
      <c r="C134">
        <v>5</v>
      </c>
    </row>
    <row r="135" spans="1:3" x14ac:dyDescent="0.25">
      <c r="A135" s="2">
        <v>132</v>
      </c>
      <c r="B135">
        <v>1.5</v>
      </c>
      <c r="C135">
        <v>6.5</v>
      </c>
    </row>
    <row r="136" spans="1:3" x14ac:dyDescent="0.25">
      <c r="A136" s="2">
        <v>133</v>
      </c>
      <c r="B136">
        <v>5</v>
      </c>
      <c r="C136">
        <v>11.5</v>
      </c>
    </row>
    <row r="137" spans="1:3" x14ac:dyDescent="0.25">
      <c r="A137" s="2">
        <v>134</v>
      </c>
      <c r="B137">
        <v>1</v>
      </c>
      <c r="C137">
        <v>12.5</v>
      </c>
    </row>
    <row r="138" spans="1:3" x14ac:dyDescent="0.25">
      <c r="A138" s="2">
        <v>135</v>
      </c>
      <c r="B138">
        <v>2</v>
      </c>
      <c r="C138">
        <v>14.5</v>
      </c>
    </row>
    <row r="139" spans="1:3" x14ac:dyDescent="0.25">
      <c r="A139" s="2">
        <v>136</v>
      </c>
      <c r="B139">
        <v>5.5</v>
      </c>
      <c r="C139">
        <v>20</v>
      </c>
    </row>
    <row r="140" spans="1:3" x14ac:dyDescent="0.25">
      <c r="A140" s="2">
        <v>137</v>
      </c>
      <c r="B140">
        <v>3</v>
      </c>
      <c r="C140">
        <v>23</v>
      </c>
    </row>
    <row r="141" spans="1:3" x14ac:dyDescent="0.25">
      <c r="A141" s="2">
        <v>138</v>
      </c>
      <c r="B141">
        <v>2.5</v>
      </c>
      <c r="C141">
        <v>25.5</v>
      </c>
    </row>
    <row r="142" spans="1:3" x14ac:dyDescent="0.25">
      <c r="A142" s="2">
        <v>139</v>
      </c>
      <c r="B142">
        <v>5.5</v>
      </c>
      <c r="C142">
        <v>31</v>
      </c>
    </row>
    <row r="143" spans="1:3" x14ac:dyDescent="0.25">
      <c r="A143" s="2">
        <v>140</v>
      </c>
      <c r="B143">
        <v>5.5</v>
      </c>
      <c r="C143">
        <v>36.5</v>
      </c>
    </row>
    <row r="144" spans="1:3" x14ac:dyDescent="0.25">
      <c r="A144" s="2">
        <v>141</v>
      </c>
      <c r="B144">
        <v>4.5</v>
      </c>
      <c r="C144">
        <v>41</v>
      </c>
    </row>
    <row r="145" spans="1:3" x14ac:dyDescent="0.25">
      <c r="A145" s="2">
        <v>142</v>
      </c>
      <c r="B145">
        <v>6</v>
      </c>
      <c r="C145">
        <v>47</v>
      </c>
    </row>
    <row r="146" spans="1:3" x14ac:dyDescent="0.25">
      <c r="A146" s="2">
        <v>143</v>
      </c>
      <c r="B146">
        <v>1</v>
      </c>
      <c r="C146">
        <v>48</v>
      </c>
    </row>
    <row r="147" spans="1:3" x14ac:dyDescent="0.25">
      <c r="A147" s="2">
        <v>144</v>
      </c>
      <c r="B147">
        <v>3.5</v>
      </c>
      <c r="C147">
        <v>51.5</v>
      </c>
    </row>
    <row r="148" spans="1:3" x14ac:dyDescent="0.25">
      <c r="A148" s="2">
        <v>145</v>
      </c>
      <c r="B148">
        <v>2</v>
      </c>
      <c r="C148">
        <v>53.5</v>
      </c>
    </row>
    <row r="149" spans="1:3" x14ac:dyDescent="0.25">
      <c r="A149" s="2">
        <v>146</v>
      </c>
      <c r="B149">
        <v>3</v>
      </c>
      <c r="C149">
        <v>56.5</v>
      </c>
    </row>
    <row r="150" spans="1:3" x14ac:dyDescent="0.25">
      <c r="A150" s="2">
        <v>147</v>
      </c>
      <c r="B150">
        <v>3.5</v>
      </c>
      <c r="C150">
        <v>60</v>
      </c>
    </row>
    <row r="151" spans="1:3" x14ac:dyDescent="0.25">
      <c r="A151" s="2">
        <v>148</v>
      </c>
      <c r="B151">
        <v>2</v>
      </c>
      <c r="C151">
        <v>62</v>
      </c>
    </row>
    <row r="152" spans="1:3" x14ac:dyDescent="0.25">
      <c r="A152" s="2">
        <v>149</v>
      </c>
      <c r="B152">
        <v>2</v>
      </c>
      <c r="C152">
        <v>64</v>
      </c>
    </row>
    <row r="153" spans="1:3" x14ac:dyDescent="0.25">
      <c r="A153" s="2">
        <v>150</v>
      </c>
      <c r="B153">
        <v>2</v>
      </c>
      <c r="C153">
        <v>66</v>
      </c>
    </row>
    <row r="154" spans="1:3" x14ac:dyDescent="0.25">
      <c r="A154" s="2">
        <v>151</v>
      </c>
      <c r="B154">
        <v>2.5</v>
      </c>
      <c r="C154">
        <v>68.5</v>
      </c>
    </row>
    <row r="155" spans="1:3" x14ac:dyDescent="0.25">
      <c r="A155" s="2">
        <v>152</v>
      </c>
      <c r="B155">
        <v>6</v>
      </c>
      <c r="C155">
        <v>74.5</v>
      </c>
    </row>
    <row r="156" spans="1:3" x14ac:dyDescent="0.25">
      <c r="A156" s="2">
        <v>153</v>
      </c>
      <c r="B156">
        <v>2.5</v>
      </c>
      <c r="C156">
        <v>77</v>
      </c>
    </row>
    <row r="157" spans="1:3" x14ac:dyDescent="0.25">
      <c r="A157" s="2">
        <v>154</v>
      </c>
      <c r="B157">
        <v>3.5</v>
      </c>
      <c r="C157">
        <v>80.5</v>
      </c>
    </row>
    <row r="158" spans="1:3" x14ac:dyDescent="0.25">
      <c r="A158" s="2">
        <v>155</v>
      </c>
      <c r="B158">
        <v>4.5</v>
      </c>
      <c r="C158">
        <v>85</v>
      </c>
    </row>
    <row r="159" spans="1:3" x14ac:dyDescent="0.25">
      <c r="A159" s="2">
        <v>156</v>
      </c>
      <c r="B159">
        <v>5.5</v>
      </c>
      <c r="C159">
        <v>90.5</v>
      </c>
    </row>
    <row r="160" spans="1:3" x14ac:dyDescent="0.25">
      <c r="A160" s="2">
        <v>157</v>
      </c>
      <c r="B160">
        <v>2</v>
      </c>
      <c r="C160">
        <v>92.5</v>
      </c>
    </row>
    <row r="161" spans="1:3" x14ac:dyDescent="0.25">
      <c r="A161" s="2">
        <v>158</v>
      </c>
      <c r="B161">
        <v>2</v>
      </c>
      <c r="C161">
        <v>94.5</v>
      </c>
    </row>
    <row r="162" spans="1:3" x14ac:dyDescent="0.25">
      <c r="A162" s="2">
        <v>159</v>
      </c>
      <c r="B162">
        <v>4.5</v>
      </c>
      <c r="C162">
        <v>99</v>
      </c>
    </row>
    <row r="163" spans="1:3" x14ac:dyDescent="0.25">
      <c r="A163" s="2">
        <v>160</v>
      </c>
      <c r="B163">
        <v>2</v>
      </c>
      <c r="C163">
        <v>101</v>
      </c>
    </row>
    <row r="164" spans="1:3" x14ac:dyDescent="0.25">
      <c r="A164" s="2">
        <v>161</v>
      </c>
      <c r="B164">
        <v>4.5</v>
      </c>
      <c r="C164">
        <v>105.5</v>
      </c>
    </row>
    <row r="165" spans="1:3" x14ac:dyDescent="0.25">
      <c r="A165" s="2">
        <v>162</v>
      </c>
      <c r="B165">
        <v>5.5</v>
      </c>
      <c r="C165">
        <v>111</v>
      </c>
    </row>
    <row r="166" spans="1:3" x14ac:dyDescent="0.25">
      <c r="A166" s="2">
        <v>163</v>
      </c>
      <c r="B166">
        <v>6</v>
      </c>
      <c r="C166">
        <v>117</v>
      </c>
    </row>
    <row r="167" spans="1:3" x14ac:dyDescent="0.25">
      <c r="A167" s="2">
        <v>164</v>
      </c>
      <c r="B167">
        <v>3.5</v>
      </c>
      <c r="C167">
        <v>120.5</v>
      </c>
    </row>
    <row r="168" spans="1:3" x14ac:dyDescent="0.25">
      <c r="A168" s="2">
        <v>165</v>
      </c>
      <c r="B168">
        <v>1.5</v>
      </c>
      <c r="C168">
        <v>122</v>
      </c>
    </row>
    <row r="169" spans="1:3" x14ac:dyDescent="0.25">
      <c r="A169" s="2">
        <v>166</v>
      </c>
      <c r="B169">
        <v>3.5</v>
      </c>
      <c r="C169">
        <v>125.5</v>
      </c>
    </row>
    <row r="170" spans="1:3" x14ac:dyDescent="0.25">
      <c r="A170" s="2">
        <v>167</v>
      </c>
      <c r="B170">
        <v>2.5</v>
      </c>
      <c r="C170">
        <v>128</v>
      </c>
    </row>
    <row r="171" spans="1:3" x14ac:dyDescent="0.25">
      <c r="A171" s="2">
        <v>168</v>
      </c>
      <c r="B171">
        <v>0.5</v>
      </c>
      <c r="C171">
        <v>128.5</v>
      </c>
    </row>
    <row r="172" spans="1:3" x14ac:dyDescent="0.25">
      <c r="A172" s="2">
        <v>169</v>
      </c>
      <c r="B172">
        <v>4</v>
      </c>
      <c r="C172">
        <v>132.5</v>
      </c>
    </row>
    <row r="173" spans="1:3" x14ac:dyDescent="0.25">
      <c r="A173" s="2">
        <v>170</v>
      </c>
      <c r="B173">
        <v>1.5</v>
      </c>
      <c r="C173">
        <v>134</v>
      </c>
    </row>
    <row r="174" spans="1:3" x14ac:dyDescent="0.25">
      <c r="A174" s="2">
        <v>171</v>
      </c>
      <c r="B174">
        <v>3.5</v>
      </c>
      <c r="C174">
        <v>137.5</v>
      </c>
    </row>
    <row r="175" spans="1:3" x14ac:dyDescent="0.25">
      <c r="A175" s="2">
        <v>172</v>
      </c>
      <c r="B175">
        <v>2.5</v>
      </c>
      <c r="C175">
        <v>140</v>
      </c>
    </row>
    <row r="176" spans="1:3" x14ac:dyDescent="0.25">
      <c r="A176" s="2">
        <v>173</v>
      </c>
      <c r="B176">
        <v>2</v>
      </c>
      <c r="C176">
        <v>142</v>
      </c>
    </row>
    <row r="177" spans="1:3" x14ac:dyDescent="0.25">
      <c r="A177" s="2">
        <v>174</v>
      </c>
      <c r="B177">
        <v>1.5</v>
      </c>
      <c r="C177">
        <v>143.5</v>
      </c>
    </row>
    <row r="178" spans="1:3" x14ac:dyDescent="0.25">
      <c r="A178" s="2">
        <v>175</v>
      </c>
      <c r="B178">
        <v>3.5</v>
      </c>
      <c r="C178">
        <v>147</v>
      </c>
    </row>
    <row r="179" spans="1:3" x14ac:dyDescent="0.25">
      <c r="A179" s="2">
        <v>176</v>
      </c>
      <c r="B179">
        <v>2.5</v>
      </c>
      <c r="C179">
        <v>149.5</v>
      </c>
    </row>
    <row r="180" spans="1:3" x14ac:dyDescent="0.25">
      <c r="A180" s="2">
        <v>177</v>
      </c>
      <c r="B180">
        <v>6.5</v>
      </c>
      <c r="C180">
        <v>156</v>
      </c>
    </row>
    <row r="181" spans="1:3" x14ac:dyDescent="0.25">
      <c r="A181" s="2">
        <v>178</v>
      </c>
      <c r="B181">
        <v>11.5</v>
      </c>
      <c r="C181">
        <v>167.5</v>
      </c>
    </row>
    <row r="182" spans="1:3" x14ac:dyDescent="0.25">
      <c r="A182" s="2">
        <v>179</v>
      </c>
      <c r="B182">
        <v>8</v>
      </c>
      <c r="C182">
        <v>175.5</v>
      </c>
    </row>
    <row r="183" spans="1:3" x14ac:dyDescent="0.25">
      <c r="A183" s="2">
        <v>180</v>
      </c>
      <c r="B183">
        <v>4</v>
      </c>
      <c r="C183">
        <v>179.5</v>
      </c>
    </row>
    <row r="184" spans="1:3" x14ac:dyDescent="0.25">
      <c r="A184" s="2">
        <v>181</v>
      </c>
      <c r="B184">
        <v>4</v>
      </c>
      <c r="C184">
        <v>183.5</v>
      </c>
    </row>
    <row r="185" spans="1:3" x14ac:dyDescent="0.25">
      <c r="A185" s="2">
        <v>182</v>
      </c>
      <c r="B185">
        <v>2.5</v>
      </c>
      <c r="C185">
        <v>186</v>
      </c>
    </row>
    <row r="186" spans="1:3" x14ac:dyDescent="0.25">
      <c r="A186" s="2">
        <v>183</v>
      </c>
      <c r="B186">
        <v>5</v>
      </c>
      <c r="C186">
        <v>191</v>
      </c>
    </row>
    <row r="187" spans="1:3" x14ac:dyDescent="0.25">
      <c r="A187" s="2">
        <v>184</v>
      </c>
      <c r="B187">
        <v>1.5</v>
      </c>
      <c r="C187">
        <v>192.5</v>
      </c>
    </row>
    <row r="188" spans="1:3" x14ac:dyDescent="0.25">
      <c r="A188" s="2">
        <v>185</v>
      </c>
      <c r="B188">
        <v>2</v>
      </c>
      <c r="C188">
        <v>194.5</v>
      </c>
    </row>
    <row r="189" spans="1:3" x14ac:dyDescent="0.25">
      <c r="A189" s="2">
        <v>186</v>
      </c>
      <c r="B189">
        <v>3.5</v>
      </c>
      <c r="C189">
        <v>198</v>
      </c>
    </row>
    <row r="190" spans="1:3" x14ac:dyDescent="0.25">
      <c r="A190" s="2">
        <v>187</v>
      </c>
      <c r="B190">
        <v>1</v>
      </c>
      <c r="C190">
        <v>199</v>
      </c>
    </row>
    <row r="191" spans="1:3" x14ac:dyDescent="0.25">
      <c r="A191" s="2">
        <v>188</v>
      </c>
      <c r="B191">
        <v>2.5</v>
      </c>
      <c r="C191">
        <v>201.5</v>
      </c>
    </row>
    <row r="192" spans="1:3" x14ac:dyDescent="0.25">
      <c r="A192" s="2">
        <v>189</v>
      </c>
      <c r="B192">
        <v>5</v>
      </c>
      <c r="C192">
        <v>206.5</v>
      </c>
    </row>
    <row r="193" spans="1:3" x14ac:dyDescent="0.25">
      <c r="A193" s="2">
        <v>190</v>
      </c>
      <c r="B193">
        <v>4.5</v>
      </c>
      <c r="C193">
        <v>211</v>
      </c>
    </row>
    <row r="194" spans="1:3" x14ac:dyDescent="0.25">
      <c r="A194" s="2">
        <v>191</v>
      </c>
      <c r="B194">
        <v>4</v>
      </c>
      <c r="C194">
        <v>215</v>
      </c>
    </row>
    <row r="195" spans="1:3" x14ac:dyDescent="0.25">
      <c r="A195" s="2">
        <v>192</v>
      </c>
      <c r="B195">
        <v>5</v>
      </c>
      <c r="C195">
        <v>220</v>
      </c>
    </row>
    <row r="196" spans="1:3" x14ac:dyDescent="0.25">
      <c r="A196" s="2">
        <v>193</v>
      </c>
      <c r="B196">
        <v>5</v>
      </c>
      <c r="C196">
        <v>225</v>
      </c>
    </row>
    <row r="197" spans="1:3" x14ac:dyDescent="0.25">
      <c r="A197" s="2">
        <v>194</v>
      </c>
      <c r="B197">
        <v>4</v>
      </c>
      <c r="C197">
        <v>229</v>
      </c>
    </row>
    <row r="198" spans="1:3" x14ac:dyDescent="0.25">
      <c r="A198" s="2">
        <v>195</v>
      </c>
      <c r="B198">
        <v>5.5</v>
      </c>
      <c r="C198">
        <v>234.5</v>
      </c>
    </row>
    <row r="199" spans="1:3" x14ac:dyDescent="0.25">
      <c r="A199" s="2">
        <v>196</v>
      </c>
      <c r="B199">
        <v>2.5</v>
      </c>
      <c r="C199">
        <v>237</v>
      </c>
    </row>
    <row r="200" spans="1:3" x14ac:dyDescent="0.25">
      <c r="A200" s="2">
        <v>197</v>
      </c>
      <c r="B200">
        <v>4.5</v>
      </c>
      <c r="C200">
        <v>241.5</v>
      </c>
    </row>
    <row r="201" spans="1:3" x14ac:dyDescent="0.25">
      <c r="A201" s="2">
        <v>198</v>
      </c>
      <c r="B201">
        <v>5.5</v>
      </c>
      <c r="C201">
        <v>247</v>
      </c>
    </row>
    <row r="202" spans="1:3" x14ac:dyDescent="0.25">
      <c r="A202" s="2">
        <v>199</v>
      </c>
      <c r="B202">
        <v>1.5</v>
      </c>
      <c r="C202">
        <v>248.5</v>
      </c>
    </row>
    <row r="203" spans="1:3" x14ac:dyDescent="0.25">
      <c r="A203" s="2">
        <v>200</v>
      </c>
      <c r="B203">
        <v>2.5</v>
      </c>
      <c r="C203">
        <v>251</v>
      </c>
    </row>
    <row r="204" spans="1:3" x14ac:dyDescent="0.25">
      <c r="A204" s="2" t="s">
        <v>14</v>
      </c>
      <c r="B204">
        <v>1385</v>
      </c>
      <c r="C204">
        <v>47179.5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A09F-7632-4A27-951C-9FD04D4204E0}">
  <dimension ref="A1:P201"/>
  <sheetViews>
    <sheetView tabSelected="1" zoomScale="120" zoomScaleNormal="120" workbookViewId="0">
      <selection activeCell="M132" sqref="M132"/>
    </sheetView>
  </sheetViews>
  <sheetFormatPr baseColWidth="10" defaultRowHeight="15" x14ac:dyDescent="0.25"/>
  <cols>
    <col min="1" max="6" width="11.42578125" style="1"/>
    <col min="7" max="7" width="10.5703125" style="1" customWidth="1"/>
    <col min="8" max="8" width="8" style="1" customWidth="1"/>
    <col min="9" max="9" width="11.28515625" style="1" customWidth="1"/>
    <col min="10" max="10" width="11" style="1" customWidth="1"/>
    <col min="11" max="11" width="9.7109375" style="1" customWidth="1"/>
    <col min="12" max="12" width="8.28515625" style="1" customWidth="1"/>
    <col min="13" max="13" width="8.7109375" style="1" customWidth="1"/>
  </cols>
  <sheetData>
    <row r="1" spans="1:16" ht="45" x14ac:dyDescent="0.25">
      <c r="A1" s="10" t="s">
        <v>47</v>
      </c>
      <c r="B1" s="10" t="s">
        <v>1</v>
      </c>
      <c r="C1" s="10" t="s">
        <v>6</v>
      </c>
      <c r="D1" s="10" t="s">
        <v>7</v>
      </c>
      <c r="E1" s="10" t="s">
        <v>0</v>
      </c>
      <c r="F1" s="10" t="s">
        <v>4</v>
      </c>
      <c r="G1" s="11" t="s">
        <v>5</v>
      </c>
      <c r="H1" s="11" t="s">
        <v>10</v>
      </c>
      <c r="I1" s="11" t="s">
        <v>8</v>
      </c>
      <c r="J1" s="11" t="s">
        <v>11</v>
      </c>
      <c r="K1" s="11" t="s">
        <v>12</v>
      </c>
      <c r="L1" s="11" t="s">
        <v>9</v>
      </c>
      <c r="M1" s="11" t="s">
        <v>48</v>
      </c>
    </row>
    <row r="2" spans="1:16" x14ac:dyDescent="0.25">
      <c r="A2" s="1">
        <v>1</v>
      </c>
      <c r="B2" s="1" t="s">
        <v>2</v>
      </c>
      <c r="C2" s="1">
        <v>30</v>
      </c>
      <c r="D2" s="8">
        <v>30.01</v>
      </c>
      <c r="E2" s="9">
        <f ca="1">IF($B2="Form_A1", 0.005 + (0.042 * ($A2/130)^2) + (RANDBETWEEN(-15,15)/10000), 0.005 + (0.042 * (($A2-130)/100)^2) + (RANDBETWEEN(-15,15)/10000))</f>
        <v>3.702485207100592E-3</v>
      </c>
      <c r="F2" s="1">
        <v>1000</v>
      </c>
      <c r="G2" s="1">
        <v>7</v>
      </c>
      <c r="H2" s="1">
        <v>0.04</v>
      </c>
      <c r="I2" s="1">
        <v>0</v>
      </c>
      <c r="J2" s="1">
        <v>7</v>
      </c>
      <c r="K2" s="1">
        <v>0.5</v>
      </c>
      <c r="L2" s="8">
        <v>3.5</v>
      </c>
      <c r="M2" s="8">
        <f>L2</f>
        <v>3.5</v>
      </c>
      <c r="N2" s="5"/>
      <c r="O2" s="5"/>
      <c r="P2" s="5"/>
    </row>
    <row r="3" spans="1:16" x14ac:dyDescent="0.25">
      <c r="A3" s="1">
        <v>2</v>
      </c>
      <c r="B3" s="1" t="s">
        <v>2</v>
      </c>
      <c r="C3" s="1">
        <v>30</v>
      </c>
      <c r="D3" s="8">
        <v>29.98</v>
      </c>
      <c r="E3" s="9">
        <f t="shared" ref="E3:E66" ca="1" si="0">IF($B3="Form_A1", 0.005 + (0.042 * ($A3/130)^2) + (RANDBETWEEN(-15,15)/10000), 0.005 + (0.042 * (($A3-130)/100)^2) + (RANDBETWEEN(-15,15)/10000))</f>
        <v>4.6099408284023665E-3</v>
      </c>
      <c r="F3" s="1">
        <v>1000</v>
      </c>
      <c r="G3" s="1">
        <v>6</v>
      </c>
      <c r="H3" s="1">
        <v>0.04</v>
      </c>
      <c r="I3" s="1">
        <v>1</v>
      </c>
      <c r="J3" s="1">
        <v>7</v>
      </c>
      <c r="K3" s="1">
        <v>0.5</v>
      </c>
      <c r="L3" s="8">
        <v>3.5</v>
      </c>
      <c r="M3" s="8">
        <f>L3+M2</f>
        <v>7</v>
      </c>
      <c r="N3" s="5"/>
      <c r="O3" s="5"/>
      <c r="P3" s="5"/>
    </row>
    <row r="4" spans="1:16" x14ac:dyDescent="0.25">
      <c r="A4" s="1">
        <v>3</v>
      </c>
      <c r="B4" s="1" t="s">
        <v>2</v>
      </c>
      <c r="C4" s="1">
        <v>30</v>
      </c>
      <c r="D4" s="8">
        <v>29.99</v>
      </c>
      <c r="E4" s="9">
        <f t="shared" ca="1" si="0"/>
        <v>5.3223668639053251E-3</v>
      </c>
      <c r="F4" s="1">
        <v>1000</v>
      </c>
      <c r="G4" s="1">
        <v>7</v>
      </c>
      <c r="H4" s="1">
        <v>0.04</v>
      </c>
      <c r="I4" s="1">
        <v>2</v>
      </c>
      <c r="J4" s="1">
        <v>9</v>
      </c>
      <c r="K4" s="1">
        <v>0.5</v>
      </c>
      <c r="L4" s="8">
        <v>4.5</v>
      </c>
      <c r="M4" s="8">
        <f t="shared" ref="M4:M67" si="1">L4+M3</f>
        <v>11.5</v>
      </c>
      <c r="N4" s="5"/>
      <c r="O4" s="5"/>
      <c r="P4" s="5"/>
    </row>
    <row r="5" spans="1:16" x14ac:dyDescent="0.25">
      <c r="A5" s="1">
        <v>4</v>
      </c>
      <c r="B5" s="1" t="s">
        <v>2</v>
      </c>
      <c r="C5" s="1">
        <v>30</v>
      </c>
      <c r="D5" s="8">
        <v>29.99</v>
      </c>
      <c r="E5" s="9">
        <f t="shared" ca="1" si="0"/>
        <v>3.9397633136094672E-3</v>
      </c>
      <c r="F5" s="1">
        <v>1000</v>
      </c>
      <c r="G5" s="1">
        <v>7</v>
      </c>
      <c r="H5" s="1">
        <v>0.04</v>
      </c>
      <c r="I5" s="1">
        <v>1</v>
      </c>
      <c r="J5" s="1">
        <v>8</v>
      </c>
      <c r="K5" s="1">
        <v>0.5</v>
      </c>
      <c r="L5" s="8">
        <v>4</v>
      </c>
      <c r="M5" s="8">
        <f t="shared" si="1"/>
        <v>15.5</v>
      </c>
      <c r="N5" s="5"/>
      <c r="O5" s="5"/>
      <c r="P5" s="5"/>
    </row>
    <row r="6" spans="1:16" x14ac:dyDescent="0.25">
      <c r="A6" s="1">
        <v>5</v>
      </c>
      <c r="B6" s="1" t="s">
        <v>2</v>
      </c>
      <c r="C6" s="1">
        <v>30</v>
      </c>
      <c r="D6" s="8">
        <v>30.04</v>
      </c>
      <c r="E6" s="9">
        <f t="shared" ca="1" si="0"/>
        <v>6.3621301775147934E-3</v>
      </c>
      <c r="F6" s="1">
        <v>1000</v>
      </c>
      <c r="G6" s="1">
        <v>3</v>
      </c>
      <c r="H6" s="1">
        <v>0.04</v>
      </c>
      <c r="I6" s="1">
        <v>0</v>
      </c>
      <c r="J6" s="1">
        <v>3</v>
      </c>
      <c r="K6" s="1">
        <v>0.5</v>
      </c>
      <c r="L6" s="8">
        <v>1.5</v>
      </c>
      <c r="M6" s="8">
        <f t="shared" si="1"/>
        <v>17</v>
      </c>
      <c r="N6" s="5"/>
      <c r="O6" s="5"/>
      <c r="P6" s="5"/>
    </row>
    <row r="7" spans="1:16" x14ac:dyDescent="0.25">
      <c r="A7" s="1">
        <v>6</v>
      </c>
      <c r="B7" s="1" t="s">
        <v>2</v>
      </c>
      <c r="C7" s="1">
        <v>30</v>
      </c>
      <c r="D7" s="8">
        <v>30.01</v>
      </c>
      <c r="E7" s="9">
        <f t="shared" ca="1" si="0"/>
        <v>6.4894674556213025E-3</v>
      </c>
      <c r="F7" s="1">
        <v>1000</v>
      </c>
      <c r="G7" s="1">
        <v>10</v>
      </c>
      <c r="H7" s="1">
        <v>0.04</v>
      </c>
      <c r="I7" s="1">
        <v>1</v>
      </c>
      <c r="J7" s="1">
        <v>11</v>
      </c>
      <c r="K7" s="1">
        <v>0.5</v>
      </c>
      <c r="L7" s="8">
        <v>5.5</v>
      </c>
      <c r="M7" s="8">
        <f t="shared" si="1"/>
        <v>22.5</v>
      </c>
      <c r="N7" s="5"/>
      <c r="O7" s="5"/>
      <c r="P7" s="5"/>
    </row>
    <row r="8" spans="1:16" x14ac:dyDescent="0.25">
      <c r="A8" s="1">
        <v>7</v>
      </c>
      <c r="B8" s="1" t="s">
        <v>2</v>
      </c>
      <c r="C8" s="1">
        <v>30</v>
      </c>
      <c r="D8" s="8">
        <v>30.07</v>
      </c>
      <c r="E8" s="9">
        <f t="shared" ca="1" si="0"/>
        <v>5.0217751479289937E-3</v>
      </c>
      <c r="F8" s="1">
        <v>1000</v>
      </c>
      <c r="G8" s="1">
        <v>6</v>
      </c>
      <c r="H8" s="1">
        <v>0.04</v>
      </c>
      <c r="I8" s="1">
        <v>1</v>
      </c>
      <c r="J8" s="1">
        <v>7</v>
      </c>
      <c r="K8" s="1">
        <v>0.5</v>
      </c>
      <c r="L8" s="8">
        <v>3.5</v>
      </c>
      <c r="M8" s="8">
        <f t="shared" si="1"/>
        <v>26</v>
      </c>
      <c r="N8" s="5"/>
      <c r="O8" s="5"/>
      <c r="P8" s="5"/>
    </row>
    <row r="9" spans="1:16" x14ac:dyDescent="0.25">
      <c r="A9" s="1">
        <v>8</v>
      </c>
      <c r="B9" s="1" t="s">
        <v>2</v>
      </c>
      <c r="C9" s="1">
        <v>30</v>
      </c>
      <c r="D9" s="8">
        <v>30.02</v>
      </c>
      <c r="E9" s="9">
        <f t="shared" ca="1" si="0"/>
        <v>4.2590532544378706E-3</v>
      </c>
      <c r="F9" s="1">
        <v>1000</v>
      </c>
      <c r="G9" s="1">
        <v>7</v>
      </c>
      <c r="H9" s="1">
        <v>0.04</v>
      </c>
      <c r="I9" s="1">
        <v>2</v>
      </c>
      <c r="J9" s="1">
        <v>9</v>
      </c>
      <c r="K9" s="1">
        <v>0.5</v>
      </c>
      <c r="L9" s="8">
        <v>4.5</v>
      </c>
      <c r="M9" s="8">
        <f t="shared" si="1"/>
        <v>30.5</v>
      </c>
      <c r="N9" s="5"/>
      <c r="O9" s="5"/>
      <c r="P9" s="5"/>
    </row>
    <row r="10" spans="1:16" x14ac:dyDescent="0.25">
      <c r="A10" s="1">
        <v>9</v>
      </c>
      <c r="B10" s="1" t="s">
        <v>2</v>
      </c>
      <c r="C10" s="1">
        <v>30</v>
      </c>
      <c r="D10" s="8">
        <v>30.05</v>
      </c>
      <c r="E10" s="9">
        <f t="shared" ca="1" si="0"/>
        <v>5.8013017751479294E-3</v>
      </c>
      <c r="F10" s="1">
        <v>1000</v>
      </c>
      <c r="G10" s="1">
        <v>8</v>
      </c>
      <c r="H10" s="1">
        <v>0.04</v>
      </c>
      <c r="I10" s="1">
        <v>0</v>
      </c>
      <c r="J10" s="1">
        <v>8</v>
      </c>
      <c r="K10" s="1">
        <v>0.5</v>
      </c>
      <c r="L10" s="8">
        <v>4</v>
      </c>
      <c r="M10" s="8">
        <f t="shared" si="1"/>
        <v>34.5</v>
      </c>
      <c r="N10" s="5"/>
      <c r="O10" s="5"/>
      <c r="P10" s="5"/>
    </row>
    <row r="11" spans="1:16" x14ac:dyDescent="0.25">
      <c r="A11" s="1">
        <v>10</v>
      </c>
      <c r="B11" s="1" t="s">
        <v>2</v>
      </c>
      <c r="C11" s="1">
        <v>30</v>
      </c>
      <c r="D11" s="8">
        <v>30.04</v>
      </c>
      <c r="E11" s="9">
        <f t="shared" ca="1" si="0"/>
        <v>5.5485207100591715E-3</v>
      </c>
      <c r="F11" s="1">
        <v>1000</v>
      </c>
      <c r="G11" s="1">
        <v>2</v>
      </c>
      <c r="H11" s="1">
        <v>0.04</v>
      </c>
      <c r="I11" s="1">
        <v>1</v>
      </c>
      <c r="J11" s="1">
        <v>3</v>
      </c>
      <c r="K11" s="1">
        <v>0.5</v>
      </c>
      <c r="L11" s="8">
        <v>1.5</v>
      </c>
      <c r="M11" s="8">
        <f t="shared" si="1"/>
        <v>36</v>
      </c>
      <c r="N11" s="5"/>
      <c r="O11" s="5"/>
      <c r="P11" s="5"/>
    </row>
    <row r="12" spans="1:16" x14ac:dyDescent="0.25">
      <c r="A12" s="1">
        <v>11</v>
      </c>
      <c r="B12" s="1" t="s">
        <v>2</v>
      </c>
      <c r="C12" s="1">
        <v>30</v>
      </c>
      <c r="D12" s="8">
        <v>30.07</v>
      </c>
      <c r="E12" s="9">
        <f t="shared" ca="1" si="0"/>
        <v>4.3007100591715974E-3</v>
      </c>
      <c r="F12" s="1">
        <v>1000</v>
      </c>
      <c r="G12" s="1">
        <v>6</v>
      </c>
      <c r="H12" s="1">
        <v>0.04</v>
      </c>
      <c r="I12" s="1">
        <v>1</v>
      </c>
      <c r="J12" s="1">
        <v>7</v>
      </c>
      <c r="K12" s="1">
        <v>0.5</v>
      </c>
      <c r="L12" s="8">
        <v>3.5</v>
      </c>
      <c r="M12" s="8">
        <f t="shared" si="1"/>
        <v>39.5</v>
      </c>
      <c r="O12" s="5"/>
      <c r="P12" s="5"/>
    </row>
    <row r="13" spans="1:16" x14ac:dyDescent="0.25">
      <c r="A13" s="1">
        <v>12</v>
      </c>
      <c r="B13" s="1" t="s">
        <v>2</v>
      </c>
      <c r="C13" s="1">
        <v>30</v>
      </c>
      <c r="D13" s="8">
        <v>30.06</v>
      </c>
      <c r="E13" s="9">
        <f t="shared" ca="1" si="0"/>
        <v>5.9578698224852069E-3</v>
      </c>
      <c r="F13" s="1">
        <v>1000</v>
      </c>
      <c r="G13" s="1">
        <v>2</v>
      </c>
      <c r="H13" s="1">
        <v>0.04</v>
      </c>
      <c r="I13" s="1">
        <v>2</v>
      </c>
      <c r="J13" s="1">
        <v>4</v>
      </c>
      <c r="K13" s="1">
        <v>0.5</v>
      </c>
      <c r="L13" s="8">
        <v>2</v>
      </c>
      <c r="M13" s="8">
        <f t="shared" si="1"/>
        <v>41.5</v>
      </c>
      <c r="O13" s="5"/>
      <c r="P13" s="5"/>
    </row>
    <row r="14" spans="1:16" x14ac:dyDescent="0.25">
      <c r="A14" s="1">
        <v>13</v>
      </c>
      <c r="B14" s="1" t="s">
        <v>2</v>
      </c>
      <c r="C14" s="1">
        <v>30</v>
      </c>
      <c r="D14" s="8">
        <v>30.09</v>
      </c>
      <c r="E14" s="9">
        <f t="shared" ca="1" si="0"/>
        <v>4.5200000000000006E-3</v>
      </c>
      <c r="F14" s="1">
        <v>1000</v>
      </c>
      <c r="G14" s="1">
        <v>7</v>
      </c>
      <c r="H14" s="1">
        <v>0.04</v>
      </c>
      <c r="I14" s="1">
        <v>0</v>
      </c>
      <c r="J14" s="1">
        <v>7</v>
      </c>
      <c r="K14" s="1">
        <v>0.5</v>
      </c>
      <c r="L14" s="8">
        <v>3.5</v>
      </c>
      <c r="M14" s="8">
        <f t="shared" si="1"/>
        <v>45</v>
      </c>
      <c r="O14" s="5"/>
      <c r="P14" s="5"/>
    </row>
    <row r="15" spans="1:16" x14ac:dyDescent="0.25">
      <c r="A15" s="1">
        <v>14</v>
      </c>
      <c r="B15" s="1" t="s">
        <v>2</v>
      </c>
      <c r="C15" s="1">
        <v>30</v>
      </c>
      <c r="D15" s="8">
        <v>30.08</v>
      </c>
      <c r="E15" s="9">
        <f t="shared" ca="1" si="0"/>
        <v>5.987100591715977E-3</v>
      </c>
      <c r="F15" s="1">
        <v>1000</v>
      </c>
      <c r="G15" s="1">
        <v>2</v>
      </c>
      <c r="H15" s="1">
        <v>0.04</v>
      </c>
      <c r="I15" s="1">
        <v>2</v>
      </c>
      <c r="J15" s="1">
        <v>4</v>
      </c>
      <c r="K15" s="1">
        <v>0.5</v>
      </c>
      <c r="L15" s="8">
        <v>2</v>
      </c>
      <c r="M15" s="8">
        <f t="shared" si="1"/>
        <v>47</v>
      </c>
      <c r="O15" s="5"/>
      <c r="P15" s="5"/>
    </row>
    <row r="16" spans="1:16" x14ac:dyDescent="0.25">
      <c r="A16" s="1">
        <v>15</v>
      </c>
      <c r="B16" s="1" t="s">
        <v>2</v>
      </c>
      <c r="C16" s="1">
        <v>30</v>
      </c>
      <c r="D16" s="8">
        <v>30.11</v>
      </c>
      <c r="E16" s="9">
        <f t="shared" ca="1" si="0"/>
        <v>4.6591715976331367E-3</v>
      </c>
      <c r="F16" s="1">
        <v>1000</v>
      </c>
      <c r="G16" s="1">
        <v>7</v>
      </c>
      <c r="H16" s="1">
        <v>0.04</v>
      </c>
      <c r="I16" s="1">
        <v>1</v>
      </c>
      <c r="J16" s="1">
        <v>8</v>
      </c>
      <c r="K16" s="1">
        <v>0.5</v>
      </c>
      <c r="L16" s="8">
        <v>4</v>
      </c>
      <c r="M16" s="8">
        <f t="shared" si="1"/>
        <v>51</v>
      </c>
      <c r="O16" s="5"/>
      <c r="P16" s="5"/>
    </row>
    <row r="17" spans="1:16" x14ac:dyDescent="0.25">
      <c r="A17" s="1">
        <v>16</v>
      </c>
      <c r="B17" s="1" t="s">
        <v>2</v>
      </c>
      <c r="C17" s="1">
        <v>30</v>
      </c>
      <c r="D17" s="8">
        <v>30.08</v>
      </c>
      <c r="E17" s="9">
        <f t="shared" ca="1" si="0"/>
        <v>5.3362130177514793E-3</v>
      </c>
      <c r="F17" s="1">
        <v>1000</v>
      </c>
      <c r="G17" s="1">
        <v>10</v>
      </c>
      <c r="H17" s="1">
        <v>0.04</v>
      </c>
      <c r="I17" s="1">
        <v>1</v>
      </c>
      <c r="J17" s="1">
        <v>11</v>
      </c>
      <c r="K17" s="1">
        <v>0.5</v>
      </c>
      <c r="L17" s="8">
        <v>5.5</v>
      </c>
      <c r="M17" s="8">
        <f t="shared" si="1"/>
        <v>56.5</v>
      </c>
      <c r="O17" s="5"/>
      <c r="P17" s="5"/>
    </row>
    <row r="18" spans="1:16" x14ac:dyDescent="0.25">
      <c r="A18" s="1">
        <v>17</v>
      </c>
      <c r="B18" s="1" t="s">
        <v>2</v>
      </c>
      <c r="C18" s="1">
        <v>30</v>
      </c>
      <c r="D18" s="8">
        <v>30.06</v>
      </c>
      <c r="E18" s="9">
        <f t="shared" ca="1" si="0"/>
        <v>5.7182248520710058E-3</v>
      </c>
      <c r="F18" s="1">
        <v>1000</v>
      </c>
      <c r="G18" s="1">
        <v>4</v>
      </c>
      <c r="H18" s="1">
        <v>0.04</v>
      </c>
      <c r="I18" s="1">
        <v>2</v>
      </c>
      <c r="J18" s="1">
        <v>6</v>
      </c>
      <c r="K18" s="1">
        <v>0.5</v>
      </c>
      <c r="L18" s="8">
        <v>3</v>
      </c>
      <c r="M18" s="8">
        <f t="shared" si="1"/>
        <v>59.5</v>
      </c>
      <c r="O18" s="5"/>
      <c r="P18" s="5"/>
    </row>
    <row r="19" spans="1:16" x14ac:dyDescent="0.25">
      <c r="A19" s="1">
        <v>18</v>
      </c>
      <c r="B19" s="1" t="s">
        <v>2</v>
      </c>
      <c r="C19" s="1">
        <v>30</v>
      </c>
      <c r="D19" s="8">
        <v>30.11</v>
      </c>
      <c r="E19" s="9">
        <f t="shared" ca="1" si="0"/>
        <v>4.8052071005917161E-3</v>
      </c>
      <c r="F19" s="1">
        <v>1000</v>
      </c>
      <c r="G19" s="1">
        <v>3</v>
      </c>
      <c r="H19" s="1">
        <v>0.04</v>
      </c>
      <c r="I19" s="1">
        <v>1</v>
      </c>
      <c r="J19" s="1">
        <v>4</v>
      </c>
      <c r="K19" s="1">
        <v>0.5</v>
      </c>
      <c r="L19" s="8">
        <v>2</v>
      </c>
      <c r="M19" s="8">
        <f t="shared" si="1"/>
        <v>61.5</v>
      </c>
      <c r="O19" s="5"/>
      <c r="P19" s="5"/>
    </row>
    <row r="20" spans="1:16" x14ac:dyDescent="0.25">
      <c r="A20" s="1">
        <v>19</v>
      </c>
      <c r="B20" s="1" t="s">
        <v>2</v>
      </c>
      <c r="C20" s="1">
        <v>30</v>
      </c>
      <c r="D20" s="8">
        <v>30.07</v>
      </c>
      <c r="E20" s="9">
        <f t="shared" ca="1" si="0"/>
        <v>5.4971597633136091E-3</v>
      </c>
      <c r="F20" s="1">
        <v>1000</v>
      </c>
      <c r="G20" s="1">
        <v>5</v>
      </c>
      <c r="H20" s="1">
        <v>0.04</v>
      </c>
      <c r="I20" s="1">
        <v>2</v>
      </c>
      <c r="J20" s="1">
        <v>7</v>
      </c>
      <c r="K20" s="1">
        <v>0.5</v>
      </c>
      <c r="L20" s="8">
        <v>3.5</v>
      </c>
      <c r="M20" s="8">
        <f t="shared" si="1"/>
        <v>65</v>
      </c>
      <c r="O20" s="5"/>
      <c r="P20" s="5"/>
    </row>
    <row r="21" spans="1:16" x14ac:dyDescent="0.25">
      <c r="A21" s="1">
        <v>20</v>
      </c>
      <c r="B21" s="1" t="s">
        <v>2</v>
      </c>
      <c r="C21" s="1">
        <v>30</v>
      </c>
      <c r="D21" s="8">
        <v>30.14</v>
      </c>
      <c r="E21" s="9">
        <f t="shared" ca="1" si="0"/>
        <v>7.4940828402366867E-3</v>
      </c>
      <c r="F21" s="1">
        <v>1000</v>
      </c>
      <c r="G21" s="1">
        <v>9</v>
      </c>
      <c r="H21" s="1">
        <v>0.04</v>
      </c>
      <c r="I21" s="1">
        <v>0</v>
      </c>
      <c r="J21" s="1">
        <v>9</v>
      </c>
      <c r="K21" s="1">
        <v>0.5</v>
      </c>
      <c r="L21" s="8">
        <v>4.5</v>
      </c>
      <c r="M21" s="8">
        <f t="shared" si="1"/>
        <v>69.5</v>
      </c>
      <c r="O21" s="5"/>
      <c r="P21" s="5"/>
    </row>
    <row r="22" spans="1:16" x14ac:dyDescent="0.25">
      <c r="A22" s="1">
        <v>21</v>
      </c>
      <c r="B22" s="1" t="s">
        <v>2</v>
      </c>
      <c r="C22" s="1">
        <v>30</v>
      </c>
      <c r="D22" s="8">
        <v>30.1</v>
      </c>
      <c r="E22" s="9">
        <f t="shared" ca="1" si="0"/>
        <v>5.495976331360947E-3</v>
      </c>
      <c r="F22" s="1">
        <v>1000</v>
      </c>
      <c r="G22" s="1">
        <v>5</v>
      </c>
      <c r="H22" s="1">
        <v>0.04</v>
      </c>
      <c r="I22" s="1">
        <v>2</v>
      </c>
      <c r="J22" s="1">
        <v>7</v>
      </c>
      <c r="K22" s="1">
        <v>0.5</v>
      </c>
      <c r="L22" s="8">
        <v>3.5</v>
      </c>
      <c r="M22" s="8">
        <f t="shared" si="1"/>
        <v>73</v>
      </c>
      <c r="O22" s="5"/>
      <c r="P22" s="5"/>
    </row>
    <row r="23" spans="1:16" x14ac:dyDescent="0.25">
      <c r="A23" s="1">
        <v>22</v>
      </c>
      <c r="B23" s="1" t="s">
        <v>2</v>
      </c>
      <c r="C23" s="1">
        <v>30</v>
      </c>
      <c r="D23" s="8">
        <v>30.12</v>
      </c>
      <c r="E23" s="9">
        <f t="shared" ca="1" si="0"/>
        <v>6.102840236686391E-3</v>
      </c>
      <c r="F23" s="1">
        <v>1000</v>
      </c>
      <c r="G23" s="1">
        <v>7</v>
      </c>
      <c r="H23" s="1">
        <v>0.04</v>
      </c>
      <c r="I23" s="1">
        <v>2</v>
      </c>
      <c r="J23" s="1">
        <v>9</v>
      </c>
      <c r="K23" s="1">
        <v>0.5</v>
      </c>
      <c r="L23" s="8">
        <v>4.5</v>
      </c>
      <c r="M23" s="8">
        <f t="shared" si="1"/>
        <v>77.5</v>
      </c>
      <c r="O23" s="5"/>
      <c r="P23" s="5"/>
    </row>
    <row r="24" spans="1:16" x14ac:dyDescent="0.25">
      <c r="A24" s="1">
        <v>23</v>
      </c>
      <c r="B24" s="1" t="s">
        <v>2</v>
      </c>
      <c r="C24" s="1">
        <v>30</v>
      </c>
      <c r="D24" s="8">
        <v>30.14</v>
      </c>
      <c r="E24" s="9">
        <f t="shared" ca="1" si="0"/>
        <v>4.814674556213018E-3</v>
      </c>
      <c r="F24" s="1">
        <v>1000</v>
      </c>
      <c r="G24" s="1">
        <v>9</v>
      </c>
      <c r="H24" s="1">
        <v>0.04</v>
      </c>
      <c r="I24" s="1">
        <v>0</v>
      </c>
      <c r="J24" s="1">
        <v>9</v>
      </c>
      <c r="K24" s="1">
        <v>0.5</v>
      </c>
      <c r="L24" s="8">
        <v>4.5</v>
      </c>
      <c r="M24" s="8">
        <f t="shared" si="1"/>
        <v>82</v>
      </c>
      <c r="O24" s="5"/>
      <c r="P24" s="5"/>
    </row>
    <row r="25" spans="1:16" x14ac:dyDescent="0.25">
      <c r="A25" s="1">
        <v>24</v>
      </c>
      <c r="B25" s="1" t="s">
        <v>2</v>
      </c>
      <c r="C25" s="1">
        <v>30</v>
      </c>
      <c r="D25" s="8">
        <v>30.15</v>
      </c>
      <c r="E25" s="9">
        <f t="shared" ca="1" si="0"/>
        <v>6.6314792899408283E-3</v>
      </c>
      <c r="F25" s="1">
        <v>1000</v>
      </c>
      <c r="G25" s="1">
        <v>9</v>
      </c>
      <c r="H25" s="1">
        <v>0.04</v>
      </c>
      <c r="I25" s="1">
        <v>1</v>
      </c>
      <c r="J25" s="1">
        <v>10</v>
      </c>
      <c r="K25" s="1">
        <v>0.5</v>
      </c>
      <c r="L25" s="8">
        <v>5</v>
      </c>
      <c r="M25" s="8">
        <f t="shared" si="1"/>
        <v>87</v>
      </c>
      <c r="O25" s="5"/>
      <c r="P25" s="5"/>
    </row>
    <row r="26" spans="1:16" x14ac:dyDescent="0.25">
      <c r="A26" s="1">
        <v>25</v>
      </c>
      <c r="B26" s="1" t="s">
        <v>2</v>
      </c>
      <c r="C26" s="1">
        <v>30</v>
      </c>
      <c r="D26" s="8">
        <v>30.11</v>
      </c>
      <c r="E26" s="9">
        <f t="shared" ca="1" si="0"/>
        <v>7.0532544378698221E-3</v>
      </c>
      <c r="F26" s="1">
        <v>1000</v>
      </c>
      <c r="G26" s="1">
        <v>5</v>
      </c>
      <c r="H26" s="1">
        <v>0.04</v>
      </c>
      <c r="I26" s="1">
        <v>2</v>
      </c>
      <c r="J26" s="1">
        <v>7</v>
      </c>
      <c r="K26" s="1">
        <v>0.5</v>
      </c>
      <c r="L26" s="8">
        <v>3.5</v>
      </c>
      <c r="M26" s="8">
        <f t="shared" si="1"/>
        <v>90.5</v>
      </c>
      <c r="O26" s="5"/>
      <c r="P26" s="5"/>
    </row>
    <row r="27" spans="1:16" x14ac:dyDescent="0.25">
      <c r="A27" s="1">
        <v>26</v>
      </c>
      <c r="B27" s="1" t="s">
        <v>2</v>
      </c>
      <c r="C27" s="1">
        <v>30</v>
      </c>
      <c r="D27" s="8">
        <v>30.13</v>
      </c>
      <c r="E27" s="9">
        <f t="shared" ca="1" si="0"/>
        <v>6.7800000000000004E-3</v>
      </c>
      <c r="F27" s="1">
        <v>1000</v>
      </c>
      <c r="G27" s="1">
        <v>9</v>
      </c>
      <c r="H27" s="1">
        <v>0.04</v>
      </c>
      <c r="I27" s="1">
        <v>1</v>
      </c>
      <c r="J27" s="1">
        <v>10</v>
      </c>
      <c r="K27" s="1">
        <v>0.5</v>
      </c>
      <c r="L27" s="8">
        <v>5</v>
      </c>
      <c r="M27" s="8">
        <f t="shared" si="1"/>
        <v>95.5</v>
      </c>
      <c r="O27" s="5"/>
      <c r="P27" s="5"/>
    </row>
    <row r="28" spans="1:16" x14ac:dyDescent="0.25">
      <c r="A28" s="1">
        <v>27</v>
      </c>
      <c r="B28" s="1" t="s">
        <v>2</v>
      </c>
      <c r="C28" s="1">
        <v>30</v>
      </c>
      <c r="D28" s="8">
        <v>30.15</v>
      </c>
      <c r="E28" s="9">
        <f t="shared" ca="1" si="0"/>
        <v>8.311715976331362E-3</v>
      </c>
      <c r="F28" s="1">
        <v>1000</v>
      </c>
      <c r="G28" s="1">
        <v>4</v>
      </c>
      <c r="H28" s="1">
        <v>0.04</v>
      </c>
      <c r="I28" s="1">
        <v>0</v>
      </c>
      <c r="J28" s="1">
        <v>4</v>
      </c>
      <c r="K28" s="1">
        <v>0.5</v>
      </c>
      <c r="L28" s="8">
        <v>2</v>
      </c>
      <c r="M28" s="8">
        <f t="shared" si="1"/>
        <v>97.5</v>
      </c>
      <c r="O28" s="5"/>
      <c r="P28" s="5"/>
    </row>
    <row r="29" spans="1:16" x14ac:dyDescent="0.25">
      <c r="A29" s="1">
        <v>28</v>
      </c>
      <c r="B29" s="1" t="s">
        <v>2</v>
      </c>
      <c r="C29" s="1">
        <v>30</v>
      </c>
      <c r="D29" s="8">
        <v>30.18</v>
      </c>
      <c r="E29" s="9">
        <f t="shared" ca="1" si="0"/>
        <v>6.7484023668639061E-3</v>
      </c>
      <c r="F29" s="1">
        <v>1000</v>
      </c>
      <c r="G29" s="1">
        <v>9</v>
      </c>
      <c r="H29" s="1">
        <v>0.04</v>
      </c>
      <c r="I29" s="1">
        <v>1</v>
      </c>
      <c r="J29" s="1">
        <v>10</v>
      </c>
      <c r="K29" s="1">
        <v>0.5</v>
      </c>
      <c r="L29" s="8">
        <v>5</v>
      </c>
      <c r="M29" s="8">
        <f t="shared" si="1"/>
        <v>102.5</v>
      </c>
      <c r="O29" s="5"/>
      <c r="P29" s="5"/>
    </row>
    <row r="30" spans="1:16" x14ac:dyDescent="0.25">
      <c r="A30" s="1">
        <v>29</v>
      </c>
      <c r="B30" s="1" t="s">
        <v>2</v>
      </c>
      <c r="C30" s="1">
        <v>30</v>
      </c>
      <c r="D30" s="8">
        <v>30.15</v>
      </c>
      <c r="E30" s="9">
        <f t="shared" ca="1" si="0"/>
        <v>6.6900591715976327E-3</v>
      </c>
      <c r="F30" s="1">
        <v>1000</v>
      </c>
      <c r="G30" s="1">
        <v>4</v>
      </c>
      <c r="H30" s="1">
        <v>0.04</v>
      </c>
      <c r="I30" s="1">
        <v>0</v>
      </c>
      <c r="J30" s="1">
        <v>4</v>
      </c>
      <c r="K30" s="1">
        <v>0.5</v>
      </c>
      <c r="L30" s="8">
        <v>2</v>
      </c>
      <c r="M30" s="8">
        <f t="shared" si="1"/>
        <v>104.5</v>
      </c>
      <c r="O30" s="5"/>
      <c r="P30" s="5"/>
    </row>
    <row r="31" spans="1:16" x14ac:dyDescent="0.25">
      <c r="A31" s="1">
        <v>30</v>
      </c>
      <c r="B31" s="1" t="s">
        <v>2</v>
      </c>
      <c r="C31" s="1">
        <v>30</v>
      </c>
      <c r="D31" s="8">
        <v>30.16</v>
      </c>
      <c r="E31" s="9">
        <f t="shared" ca="1" si="0"/>
        <v>6.036686390532545E-3</v>
      </c>
      <c r="F31" s="1">
        <v>1000</v>
      </c>
      <c r="G31" s="1">
        <v>8</v>
      </c>
      <c r="H31" s="1">
        <v>0.04</v>
      </c>
      <c r="I31" s="1">
        <v>1</v>
      </c>
      <c r="J31" s="1">
        <v>9</v>
      </c>
      <c r="K31" s="1">
        <v>0.5</v>
      </c>
      <c r="L31" s="8">
        <v>4.5</v>
      </c>
      <c r="M31" s="8">
        <f t="shared" si="1"/>
        <v>109</v>
      </c>
      <c r="O31" s="5"/>
      <c r="P31" s="5"/>
    </row>
    <row r="32" spans="1:16" x14ac:dyDescent="0.25">
      <c r="A32" s="1">
        <v>31</v>
      </c>
      <c r="B32" s="1" t="s">
        <v>2</v>
      </c>
      <c r="C32" s="1">
        <v>30</v>
      </c>
      <c r="D32" s="8">
        <v>30.17</v>
      </c>
      <c r="E32" s="9">
        <f t="shared" ca="1" si="0"/>
        <v>7.7882840236686403E-3</v>
      </c>
      <c r="F32" s="1">
        <v>1000</v>
      </c>
      <c r="G32" s="1">
        <v>7</v>
      </c>
      <c r="H32" s="1">
        <v>0.04</v>
      </c>
      <c r="I32" s="1">
        <v>1</v>
      </c>
      <c r="J32" s="1">
        <v>8</v>
      </c>
      <c r="K32" s="1">
        <v>0.5</v>
      </c>
      <c r="L32" s="8">
        <v>4</v>
      </c>
      <c r="M32" s="8">
        <f t="shared" si="1"/>
        <v>113</v>
      </c>
      <c r="O32" s="5"/>
      <c r="P32" s="5"/>
    </row>
    <row r="33" spans="1:16" x14ac:dyDescent="0.25">
      <c r="A33" s="1">
        <v>32</v>
      </c>
      <c r="B33" s="1" t="s">
        <v>2</v>
      </c>
      <c r="C33" s="1">
        <v>30</v>
      </c>
      <c r="D33" s="8">
        <v>30.15</v>
      </c>
      <c r="E33" s="9">
        <f t="shared" ca="1" si="0"/>
        <v>8.0448520710059181E-3</v>
      </c>
      <c r="F33" s="1">
        <v>1000</v>
      </c>
      <c r="G33" s="1">
        <v>8</v>
      </c>
      <c r="H33" s="1">
        <v>0.04</v>
      </c>
      <c r="I33" s="1">
        <v>2</v>
      </c>
      <c r="J33" s="1">
        <v>10</v>
      </c>
      <c r="K33" s="1">
        <v>0.5</v>
      </c>
      <c r="L33" s="8">
        <v>5</v>
      </c>
      <c r="M33" s="8">
        <f t="shared" si="1"/>
        <v>118</v>
      </c>
      <c r="O33" s="5"/>
      <c r="P33" s="5"/>
    </row>
    <row r="34" spans="1:16" x14ac:dyDescent="0.25">
      <c r="A34" s="1">
        <v>33</v>
      </c>
      <c r="B34" s="1" t="s">
        <v>2</v>
      </c>
      <c r="C34" s="1">
        <v>30</v>
      </c>
      <c r="D34" s="8">
        <v>30.16</v>
      </c>
      <c r="E34" s="9">
        <f t="shared" ca="1" si="0"/>
        <v>8.0063905325443788E-3</v>
      </c>
      <c r="F34" s="1">
        <v>1000</v>
      </c>
      <c r="G34" s="1">
        <v>8</v>
      </c>
      <c r="H34" s="1">
        <v>0.04</v>
      </c>
      <c r="I34" s="1">
        <v>0</v>
      </c>
      <c r="J34" s="1">
        <v>8</v>
      </c>
      <c r="K34" s="1">
        <v>0.5</v>
      </c>
      <c r="L34" s="8">
        <v>4</v>
      </c>
      <c r="M34" s="8">
        <f t="shared" si="1"/>
        <v>122</v>
      </c>
      <c r="O34" s="5"/>
      <c r="P34" s="5"/>
    </row>
    <row r="35" spans="1:16" x14ac:dyDescent="0.25">
      <c r="A35" s="1">
        <v>34</v>
      </c>
      <c r="B35" s="1" t="s">
        <v>2</v>
      </c>
      <c r="C35" s="1">
        <v>30</v>
      </c>
      <c r="D35" s="8">
        <v>30.16</v>
      </c>
      <c r="E35" s="9">
        <f t="shared" ca="1" si="0"/>
        <v>9.3728994082840234E-3</v>
      </c>
      <c r="F35" s="1">
        <v>1000</v>
      </c>
      <c r="G35" s="1">
        <v>3</v>
      </c>
      <c r="H35" s="1">
        <v>0.04</v>
      </c>
      <c r="I35" s="1">
        <v>1</v>
      </c>
      <c r="J35" s="1">
        <v>4</v>
      </c>
      <c r="K35" s="1">
        <v>0.5</v>
      </c>
      <c r="L35" s="8">
        <v>2</v>
      </c>
      <c r="M35" s="8">
        <f t="shared" si="1"/>
        <v>124</v>
      </c>
      <c r="O35" s="5"/>
      <c r="P35" s="5"/>
    </row>
    <row r="36" spans="1:16" x14ac:dyDescent="0.25">
      <c r="A36" s="1">
        <v>35</v>
      </c>
      <c r="B36" s="1" t="s">
        <v>2</v>
      </c>
      <c r="C36" s="1">
        <v>30</v>
      </c>
      <c r="D36" s="8">
        <v>30.17</v>
      </c>
      <c r="E36" s="9">
        <f t="shared" ca="1" si="0"/>
        <v>6.6443786982248523E-3</v>
      </c>
      <c r="F36" s="1">
        <v>1000</v>
      </c>
      <c r="G36" s="1">
        <v>7</v>
      </c>
      <c r="H36" s="1">
        <v>0.04</v>
      </c>
      <c r="I36" s="1">
        <v>2</v>
      </c>
      <c r="J36" s="1">
        <v>9</v>
      </c>
      <c r="K36" s="1">
        <v>0.5</v>
      </c>
      <c r="L36" s="8">
        <v>4.5</v>
      </c>
      <c r="M36" s="8">
        <f t="shared" si="1"/>
        <v>128.5</v>
      </c>
      <c r="O36" s="5"/>
      <c r="P36" s="5"/>
    </row>
    <row r="37" spans="1:16" x14ac:dyDescent="0.25">
      <c r="A37" s="1">
        <v>36</v>
      </c>
      <c r="B37" s="1" t="s">
        <v>2</v>
      </c>
      <c r="C37" s="1">
        <v>30</v>
      </c>
      <c r="D37" s="8">
        <v>30.17</v>
      </c>
      <c r="E37" s="9">
        <f t="shared" ca="1" si="0"/>
        <v>9.1208284023668647E-3</v>
      </c>
      <c r="F37" s="1">
        <v>1000</v>
      </c>
      <c r="G37" s="1">
        <v>1</v>
      </c>
      <c r="H37" s="1">
        <v>0.04</v>
      </c>
      <c r="I37" s="1">
        <v>0</v>
      </c>
      <c r="J37" s="1">
        <v>1</v>
      </c>
      <c r="K37" s="1">
        <v>0.5</v>
      </c>
      <c r="L37" s="8">
        <v>0.5</v>
      </c>
      <c r="M37" s="8">
        <f t="shared" si="1"/>
        <v>129</v>
      </c>
      <c r="O37" s="5"/>
      <c r="P37" s="5"/>
    </row>
    <row r="38" spans="1:16" x14ac:dyDescent="0.25">
      <c r="A38" s="1">
        <v>37</v>
      </c>
      <c r="B38" s="1" t="s">
        <v>2</v>
      </c>
      <c r="C38" s="1">
        <v>30</v>
      </c>
      <c r="D38" s="8">
        <v>30.2</v>
      </c>
      <c r="E38" s="9">
        <f t="shared" ca="1" si="0"/>
        <v>7.7022485207100594E-3</v>
      </c>
      <c r="F38" s="1">
        <v>1000</v>
      </c>
      <c r="G38" s="1">
        <v>5</v>
      </c>
      <c r="H38" s="1">
        <v>0.04</v>
      </c>
      <c r="I38" s="1">
        <v>2</v>
      </c>
      <c r="J38" s="1">
        <v>7</v>
      </c>
      <c r="K38" s="1">
        <v>0.5</v>
      </c>
      <c r="L38" s="8">
        <v>3.5</v>
      </c>
      <c r="M38" s="8">
        <f t="shared" si="1"/>
        <v>132.5</v>
      </c>
      <c r="O38" s="5"/>
      <c r="P38" s="5"/>
    </row>
    <row r="39" spans="1:16" x14ac:dyDescent="0.25">
      <c r="A39" s="1">
        <v>38</v>
      </c>
      <c r="B39" s="1" t="s">
        <v>2</v>
      </c>
      <c r="C39" s="1">
        <v>30</v>
      </c>
      <c r="D39" s="8">
        <v>30.17</v>
      </c>
      <c r="E39" s="9">
        <f t="shared" ca="1" si="0"/>
        <v>7.1886390532544375E-3</v>
      </c>
      <c r="F39" s="1">
        <v>1000</v>
      </c>
      <c r="G39" s="1">
        <v>2</v>
      </c>
      <c r="H39" s="1">
        <v>0.04</v>
      </c>
      <c r="I39" s="1">
        <v>2</v>
      </c>
      <c r="J39" s="1">
        <v>4</v>
      </c>
      <c r="K39" s="1">
        <v>0.5</v>
      </c>
      <c r="L39" s="8">
        <v>2</v>
      </c>
      <c r="M39" s="8">
        <f t="shared" si="1"/>
        <v>134.5</v>
      </c>
      <c r="O39" s="5"/>
      <c r="P39" s="5"/>
    </row>
    <row r="40" spans="1:16" x14ac:dyDescent="0.25">
      <c r="A40" s="1">
        <v>39</v>
      </c>
      <c r="B40" s="1" t="s">
        <v>2</v>
      </c>
      <c r="C40" s="1">
        <v>30</v>
      </c>
      <c r="D40" s="8">
        <v>30.21</v>
      </c>
      <c r="E40" s="9">
        <f t="shared" ca="1" si="0"/>
        <v>7.8799999999999999E-3</v>
      </c>
      <c r="F40" s="1">
        <v>1000</v>
      </c>
      <c r="G40" s="1">
        <v>1</v>
      </c>
      <c r="H40" s="1">
        <v>0.04</v>
      </c>
      <c r="I40" s="1">
        <v>2</v>
      </c>
      <c r="J40" s="1">
        <v>3</v>
      </c>
      <c r="K40" s="1">
        <v>0.5</v>
      </c>
      <c r="L40" s="8">
        <v>1.5</v>
      </c>
      <c r="M40" s="8">
        <f t="shared" si="1"/>
        <v>136</v>
      </c>
      <c r="O40" s="5"/>
      <c r="P40" s="5"/>
    </row>
    <row r="41" spans="1:16" x14ac:dyDescent="0.25">
      <c r="A41" s="1">
        <v>40</v>
      </c>
      <c r="B41" s="1" t="s">
        <v>2</v>
      </c>
      <c r="C41" s="1">
        <v>30</v>
      </c>
      <c r="D41" s="8">
        <v>30.21</v>
      </c>
      <c r="E41" s="9">
        <f t="shared" ca="1" si="0"/>
        <v>8.1763313609467449E-3</v>
      </c>
      <c r="F41" s="1">
        <v>1000</v>
      </c>
      <c r="G41" s="1">
        <v>10</v>
      </c>
      <c r="H41" s="1">
        <v>0.04</v>
      </c>
      <c r="I41" s="1">
        <v>2</v>
      </c>
      <c r="J41" s="1">
        <v>12</v>
      </c>
      <c r="K41" s="1">
        <v>0.5</v>
      </c>
      <c r="L41" s="8">
        <v>6</v>
      </c>
      <c r="M41" s="8">
        <f t="shared" si="1"/>
        <v>142</v>
      </c>
      <c r="O41" s="5"/>
      <c r="P41" s="5"/>
    </row>
    <row r="42" spans="1:16" x14ac:dyDescent="0.25">
      <c r="A42" s="1">
        <v>41</v>
      </c>
      <c r="B42" s="1" t="s">
        <v>2</v>
      </c>
      <c r="C42" s="1">
        <v>30</v>
      </c>
      <c r="D42" s="8">
        <v>30.22</v>
      </c>
      <c r="E42" s="9">
        <f t="shared" ca="1" si="0"/>
        <v>8.9776331360946742E-3</v>
      </c>
      <c r="F42" s="1">
        <v>1000</v>
      </c>
      <c r="G42" s="1">
        <v>7</v>
      </c>
      <c r="H42" s="1">
        <v>0.04</v>
      </c>
      <c r="I42" s="1">
        <v>2</v>
      </c>
      <c r="J42" s="1">
        <v>9</v>
      </c>
      <c r="K42" s="1">
        <v>0.5</v>
      </c>
      <c r="L42" s="8">
        <v>4.5</v>
      </c>
      <c r="M42" s="8">
        <f t="shared" si="1"/>
        <v>146.5</v>
      </c>
      <c r="O42" s="5"/>
      <c r="P42" s="5"/>
    </row>
    <row r="43" spans="1:16" x14ac:dyDescent="0.25">
      <c r="A43" s="1">
        <v>42</v>
      </c>
      <c r="B43" s="1" t="s">
        <v>2</v>
      </c>
      <c r="C43" s="1">
        <v>30</v>
      </c>
      <c r="D43" s="8">
        <v>30.19</v>
      </c>
      <c r="E43" s="9">
        <f t="shared" ca="1" si="0"/>
        <v>1.0583905325443788E-2</v>
      </c>
      <c r="F43" s="1">
        <v>1000</v>
      </c>
      <c r="G43" s="1">
        <v>1</v>
      </c>
      <c r="H43" s="1">
        <v>0.04</v>
      </c>
      <c r="I43" s="1">
        <v>0</v>
      </c>
      <c r="J43" s="1">
        <v>1</v>
      </c>
      <c r="K43" s="1">
        <v>0.5</v>
      </c>
      <c r="L43" s="8">
        <v>0.5</v>
      </c>
      <c r="M43" s="8">
        <f t="shared" si="1"/>
        <v>147</v>
      </c>
      <c r="O43" s="5"/>
      <c r="P43" s="5"/>
    </row>
    <row r="44" spans="1:16" x14ac:dyDescent="0.25">
      <c r="A44" s="1">
        <v>43</v>
      </c>
      <c r="B44" s="1" t="s">
        <v>2</v>
      </c>
      <c r="C44" s="1">
        <v>30</v>
      </c>
      <c r="D44" s="8">
        <v>30.22</v>
      </c>
      <c r="E44" s="9">
        <f t="shared" ca="1" si="0"/>
        <v>1.0795147928994083E-2</v>
      </c>
      <c r="F44" s="1">
        <v>1000</v>
      </c>
      <c r="G44" s="1">
        <v>6</v>
      </c>
      <c r="H44" s="1">
        <v>0.04</v>
      </c>
      <c r="I44" s="1">
        <v>0</v>
      </c>
      <c r="J44" s="1">
        <v>6</v>
      </c>
      <c r="K44" s="1">
        <v>0.5</v>
      </c>
      <c r="L44" s="8">
        <v>3</v>
      </c>
      <c r="M44" s="8">
        <f t="shared" si="1"/>
        <v>150</v>
      </c>
      <c r="O44" s="5"/>
      <c r="P44" s="5"/>
    </row>
    <row r="45" spans="1:16" x14ac:dyDescent="0.25">
      <c r="A45" s="1">
        <v>44</v>
      </c>
      <c r="B45" s="1" t="s">
        <v>2</v>
      </c>
      <c r="C45" s="1">
        <v>30</v>
      </c>
      <c r="D45" s="8">
        <v>30.26</v>
      </c>
      <c r="E45" s="9">
        <f t="shared" ca="1" si="0"/>
        <v>9.2113609467455639E-3</v>
      </c>
      <c r="F45" s="1">
        <v>1000</v>
      </c>
      <c r="G45" s="1">
        <v>0</v>
      </c>
      <c r="H45" s="1">
        <v>0.04</v>
      </c>
      <c r="I45" s="1">
        <v>0</v>
      </c>
      <c r="J45" s="1">
        <v>0</v>
      </c>
      <c r="K45" s="1">
        <v>0.5</v>
      </c>
      <c r="L45" s="8">
        <v>0</v>
      </c>
      <c r="M45" s="8">
        <f t="shared" si="1"/>
        <v>150</v>
      </c>
      <c r="O45" s="5"/>
      <c r="P45" s="5"/>
    </row>
    <row r="46" spans="1:16" x14ac:dyDescent="0.25">
      <c r="A46" s="1">
        <v>45</v>
      </c>
      <c r="B46" s="1" t="s">
        <v>2</v>
      </c>
      <c r="C46" s="1">
        <v>30</v>
      </c>
      <c r="D46" s="8">
        <v>30.2</v>
      </c>
      <c r="E46" s="9">
        <f t="shared" ca="1" si="0"/>
        <v>9.4325443786982249E-3</v>
      </c>
      <c r="F46" s="1">
        <v>1000</v>
      </c>
      <c r="G46" s="1">
        <v>10</v>
      </c>
      <c r="H46" s="1">
        <v>0.04</v>
      </c>
      <c r="I46" s="1">
        <v>2</v>
      </c>
      <c r="J46" s="1">
        <v>12</v>
      </c>
      <c r="K46" s="1">
        <v>0.5</v>
      </c>
      <c r="L46" s="8">
        <v>6</v>
      </c>
      <c r="M46" s="8">
        <f t="shared" si="1"/>
        <v>156</v>
      </c>
      <c r="O46" s="5"/>
      <c r="P46" s="5"/>
    </row>
    <row r="47" spans="1:16" x14ac:dyDescent="0.25">
      <c r="A47" s="1">
        <v>46</v>
      </c>
      <c r="B47" s="1" t="s">
        <v>2</v>
      </c>
      <c r="C47" s="1">
        <v>30</v>
      </c>
      <c r="D47" s="8">
        <v>30.24</v>
      </c>
      <c r="E47" s="9">
        <f t="shared" ca="1" si="0"/>
        <v>8.7586982248520715E-3</v>
      </c>
      <c r="F47" s="1">
        <v>1000</v>
      </c>
      <c r="G47" s="1">
        <v>10</v>
      </c>
      <c r="H47" s="1">
        <v>0.04</v>
      </c>
      <c r="I47" s="1">
        <v>1</v>
      </c>
      <c r="J47" s="1">
        <v>11</v>
      </c>
      <c r="K47" s="1">
        <v>0.5</v>
      </c>
      <c r="L47" s="8">
        <v>5.5</v>
      </c>
      <c r="M47" s="8">
        <f t="shared" si="1"/>
        <v>161.5</v>
      </c>
      <c r="O47" s="5"/>
      <c r="P47" s="5"/>
    </row>
    <row r="48" spans="1:16" x14ac:dyDescent="0.25">
      <c r="A48" s="1">
        <v>47</v>
      </c>
      <c r="B48" s="1" t="s">
        <v>2</v>
      </c>
      <c r="C48" s="1">
        <v>30</v>
      </c>
      <c r="D48" s="8">
        <v>30.21</v>
      </c>
      <c r="E48" s="9">
        <f t="shared" ca="1" si="0"/>
        <v>9.4898224852070986E-3</v>
      </c>
      <c r="F48" s="1">
        <v>1000</v>
      </c>
      <c r="G48" s="1">
        <v>2</v>
      </c>
      <c r="H48" s="1">
        <v>0.04</v>
      </c>
      <c r="I48" s="1">
        <v>2</v>
      </c>
      <c r="J48" s="1">
        <v>4</v>
      </c>
      <c r="K48" s="1">
        <v>0.5</v>
      </c>
      <c r="L48" s="8">
        <v>2</v>
      </c>
      <c r="M48" s="8">
        <f t="shared" si="1"/>
        <v>163.5</v>
      </c>
      <c r="O48" s="5"/>
      <c r="P48" s="5"/>
    </row>
    <row r="49" spans="1:16" x14ac:dyDescent="0.25">
      <c r="A49" s="1">
        <v>48</v>
      </c>
      <c r="B49" s="1" t="s">
        <v>2</v>
      </c>
      <c r="C49" s="1">
        <v>30</v>
      </c>
      <c r="D49" s="8">
        <v>30.24</v>
      </c>
      <c r="E49" s="9">
        <f t="shared" ca="1" si="0"/>
        <v>9.9259171597633148E-3</v>
      </c>
      <c r="F49" s="1">
        <v>1000</v>
      </c>
      <c r="G49" s="1">
        <v>9</v>
      </c>
      <c r="H49" s="1">
        <v>0.04</v>
      </c>
      <c r="I49" s="1">
        <v>0</v>
      </c>
      <c r="J49" s="1">
        <v>9</v>
      </c>
      <c r="K49" s="1">
        <v>0.5</v>
      </c>
      <c r="L49" s="8">
        <v>4.5</v>
      </c>
      <c r="M49" s="8">
        <f t="shared" si="1"/>
        <v>168</v>
      </c>
      <c r="O49" s="5"/>
      <c r="P49" s="5"/>
    </row>
    <row r="50" spans="1:16" x14ac:dyDescent="0.25">
      <c r="A50" s="1">
        <v>49</v>
      </c>
      <c r="B50" s="1" t="s">
        <v>2</v>
      </c>
      <c r="C50" s="1">
        <v>30</v>
      </c>
      <c r="D50" s="8">
        <v>30.22</v>
      </c>
      <c r="E50" s="9">
        <f t="shared" ca="1" si="0"/>
        <v>9.8669822485207108E-3</v>
      </c>
      <c r="F50" s="1">
        <v>1000</v>
      </c>
      <c r="G50" s="1">
        <v>4</v>
      </c>
      <c r="H50" s="1">
        <v>0.04</v>
      </c>
      <c r="I50" s="1">
        <v>0</v>
      </c>
      <c r="J50" s="1">
        <v>4</v>
      </c>
      <c r="K50" s="1">
        <v>0.5</v>
      </c>
      <c r="L50" s="8">
        <v>2</v>
      </c>
      <c r="M50" s="8">
        <f t="shared" si="1"/>
        <v>170</v>
      </c>
      <c r="O50" s="5"/>
      <c r="P50" s="5"/>
    </row>
    <row r="51" spans="1:16" x14ac:dyDescent="0.25">
      <c r="A51" s="1">
        <v>50</v>
      </c>
      <c r="B51" s="1" t="s">
        <v>2</v>
      </c>
      <c r="C51" s="1">
        <v>30</v>
      </c>
      <c r="D51" s="8">
        <v>30.28</v>
      </c>
      <c r="E51" s="9">
        <f t="shared" ca="1" si="0"/>
        <v>1.0313017751479291E-2</v>
      </c>
      <c r="F51" s="1">
        <v>1000</v>
      </c>
      <c r="G51" s="1">
        <v>8</v>
      </c>
      <c r="H51" s="1">
        <v>0.04</v>
      </c>
      <c r="I51" s="1">
        <v>1</v>
      </c>
      <c r="J51" s="1">
        <v>9</v>
      </c>
      <c r="K51" s="1">
        <v>0.5</v>
      </c>
      <c r="L51" s="8">
        <v>4.5</v>
      </c>
      <c r="M51" s="8">
        <f t="shared" si="1"/>
        <v>174.5</v>
      </c>
      <c r="O51" s="5"/>
      <c r="P51" s="5"/>
    </row>
    <row r="52" spans="1:16" x14ac:dyDescent="0.25">
      <c r="A52" s="1">
        <v>51</v>
      </c>
      <c r="B52" s="1" t="s">
        <v>2</v>
      </c>
      <c r="C52" s="1">
        <v>30</v>
      </c>
      <c r="D52" s="8">
        <v>30.24</v>
      </c>
      <c r="E52" s="9">
        <f t="shared" ca="1" si="0"/>
        <v>1.1164023668639054E-2</v>
      </c>
      <c r="F52" s="1">
        <v>1000</v>
      </c>
      <c r="G52" s="1">
        <v>8</v>
      </c>
      <c r="H52" s="1">
        <v>0.04</v>
      </c>
      <c r="I52" s="1">
        <v>1</v>
      </c>
      <c r="J52" s="1">
        <v>9</v>
      </c>
      <c r="K52" s="1">
        <v>0.5</v>
      </c>
      <c r="L52" s="8">
        <v>4.5</v>
      </c>
      <c r="M52" s="8">
        <f t="shared" si="1"/>
        <v>179</v>
      </c>
      <c r="O52" s="5"/>
      <c r="P52" s="5"/>
    </row>
    <row r="53" spans="1:16" x14ac:dyDescent="0.25">
      <c r="A53" s="1">
        <v>52</v>
      </c>
      <c r="B53" s="1" t="s">
        <v>2</v>
      </c>
      <c r="C53" s="1">
        <v>30</v>
      </c>
      <c r="D53" s="8">
        <v>30.26</v>
      </c>
      <c r="E53" s="9">
        <f t="shared" ca="1" si="0"/>
        <v>1.2820000000000002E-2</v>
      </c>
      <c r="F53" s="1">
        <v>1000</v>
      </c>
      <c r="G53" s="1">
        <v>5</v>
      </c>
      <c r="H53" s="1">
        <v>0.04</v>
      </c>
      <c r="I53" s="1">
        <v>1</v>
      </c>
      <c r="J53" s="1">
        <v>6</v>
      </c>
      <c r="K53" s="1">
        <v>0.5</v>
      </c>
      <c r="L53" s="8">
        <v>3</v>
      </c>
      <c r="M53" s="8">
        <f t="shared" si="1"/>
        <v>182</v>
      </c>
      <c r="O53" s="5"/>
      <c r="P53" s="5"/>
    </row>
    <row r="54" spans="1:16" x14ac:dyDescent="0.25">
      <c r="A54" s="1">
        <v>53</v>
      </c>
      <c r="B54" s="1" t="s">
        <v>2</v>
      </c>
      <c r="C54" s="1">
        <v>30</v>
      </c>
      <c r="D54" s="8">
        <v>30.25</v>
      </c>
      <c r="E54" s="9">
        <f t="shared" ca="1" si="0"/>
        <v>1.2180946745562131E-2</v>
      </c>
      <c r="F54" s="1">
        <v>1000</v>
      </c>
      <c r="G54" s="1">
        <v>1</v>
      </c>
      <c r="H54" s="1">
        <v>0.04</v>
      </c>
      <c r="I54" s="1">
        <v>1</v>
      </c>
      <c r="J54" s="1">
        <v>2</v>
      </c>
      <c r="K54" s="1">
        <v>0.5</v>
      </c>
      <c r="L54" s="8">
        <v>1</v>
      </c>
      <c r="M54" s="8">
        <f t="shared" si="1"/>
        <v>183</v>
      </c>
      <c r="O54" s="5"/>
      <c r="P54" s="5"/>
    </row>
    <row r="55" spans="1:16" x14ac:dyDescent="0.25">
      <c r="A55" s="1">
        <v>54</v>
      </c>
      <c r="B55" s="1" t="s">
        <v>2</v>
      </c>
      <c r="C55" s="1">
        <v>30</v>
      </c>
      <c r="D55" s="8">
        <v>30.28</v>
      </c>
      <c r="E55" s="9">
        <f t="shared" ca="1" si="0"/>
        <v>1.2646863905325444E-2</v>
      </c>
      <c r="F55" s="1">
        <v>1000</v>
      </c>
      <c r="G55" s="1">
        <v>3</v>
      </c>
      <c r="H55" s="1">
        <v>0.04</v>
      </c>
      <c r="I55" s="1">
        <v>0</v>
      </c>
      <c r="J55" s="1">
        <v>3</v>
      </c>
      <c r="K55" s="1">
        <v>0.5</v>
      </c>
      <c r="L55" s="8">
        <v>1.5</v>
      </c>
      <c r="M55" s="8">
        <f t="shared" si="1"/>
        <v>184.5</v>
      </c>
      <c r="O55" s="5"/>
      <c r="P55" s="5"/>
    </row>
    <row r="56" spans="1:16" x14ac:dyDescent="0.25">
      <c r="A56" s="1">
        <v>55</v>
      </c>
      <c r="B56" s="1" t="s">
        <v>2</v>
      </c>
      <c r="C56" s="1">
        <v>30</v>
      </c>
      <c r="D56" s="8">
        <v>30.28</v>
      </c>
      <c r="E56" s="9">
        <f t="shared" ca="1" si="0"/>
        <v>1.2217751479289942E-2</v>
      </c>
      <c r="F56" s="1">
        <v>1000</v>
      </c>
      <c r="G56" s="1">
        <v>5</v>
      </c>
      <c r="H56" s="1">
        <v>0.04</v>
      </c>
      <c r="I56" s="1">
        <v>0</v>
      </c>
      <c r="J56" s="1">
        <v>5</v>
      </c>
      <c r="K56" s="1">
        <v>0.5</v>
      </c>
      <c r="L56" s="8">
        <v>2.5</v>
      </c>
      <c r="M56" s="8">
        <f t="shared" si="1"/>
        <v>187</v>
      </c>
      <c r="O56" s="5"/>
      <c r="P56" s="5"/>
    </row>
    <row r="57" spans="1:16" x14ac:dyDescent="0.25">
      <c r="A57" s="1">
        <v>56</v>
      </c>
      <c r="B57" s="1" t="s">
        <v>2</v>
      </c>
      <c r="C57" s="1">
        <v>30</v>
      </c>
      <c r="D57" s="8">
        <v>30.3</v>
      </c>
      <c r="E57" s="9">
        <f t="shared" ca="1" si="0"/>
        <v>1.2193609467455622E-2</v>
      </c>
      <c r="F57" s="1">
        <v>1000</v>
      </c>
      <c r="G57" s="1">
        <v>1</v>
      </c>
      <c r="H57" s="1">
        <v>0.04</v>
      </c>
      <c r="I57" s="1">
        <v>0</v>
      </c>
      <c r="J57" s="1">
        <v>1</v>
      </c>
      <c r="K57" s="1">
        <v>0.5</v>
      </c>
      <c r="L57" s="8">
        <v>0.5</v>
      </c>
      <c r="M57" s="8">
        <f t="shared" si="1"/>
        <v>187.5</v>
      </c>
      <c r="O57" s="5"/>
      <c r="P57" s="5"/>
    </row>
    <row r="58" spans="1:16" x14ac:dyDescent="0.25">
      <c r="A58" s="1">
        <v>57</v>
      </c>
      <c r="B58" s="1" t="s">
        <v>2</v>
      </c>
      <c r="C58" s="1">
        <v>30</v>
      </c>
      <c r="D58" s="8">
        <v>30.25</v>
      </c>
      <c r="E58" s="9">
        <f t="shared" ca="1" si="0"/>
        <v>1.2574437869822486E-2</v>
      </c>
      <c r="F58" s="1">
        <v>1000</v>
      </c>
      <c r="G58" s="1">
        <v>8</v>
      </c>
      <c r="H58" s="1">
        <v>0.04</v>
      </c>
      <c r="I58" s="1">
        <v>1</v>
      </c>
      <c r="J58" s="1">
        <v>9</v>
      </c>
      <c r="K58" s="1">
        <v>0.5</v>
      </c>
      <c r="L58" s="8">
        <v>4.5</v>
      </c>
      <c r="M58" s="8">
        <f t="shared" si="1"/>
        <v>192</v>
      </c>
      <c r="O58" s="5"/>
      <c r="P58" s="5"/>
    </row>
    <row r="59" spans="1:16" x14ac:dyDescent="0.25">
      <c r="A59" s="1">
        <v>58</v>
      </c>
      <c r="B59" s="1" t="s">
        <v>2</v>
      </c>
      <c r="C59" s="1">
        <v>30</v>
      </c>
      <c r="D59" s="8">
        <v>30.29</v>
      </c>
      <c r="E59" s="9">
        <f t="shared" ca="1" si="0"/>
        <v>1.4560236686390532E-2</v>
      </c>
      <c r="F59" s="1">
        <v>1000</v>
      </c>
      <c r="G59" s="1">
        <v>1</v>
      </c>
      <c r="H59" s="1">
        <v>0.04</v>
      </c>
      <c r="I59" s="1">
        <v>1</v>
      </c>
      <c r="J59" s="1">
        <v>2</v>
      </c>
      <c r="K59" s="1">
        <v>0.5</v>
      </c>
      <c r="L59" s="8">
        <v>1</v>
      </c>
      <c r="M59" s="8">
        <f t="shared" si="1"/>
        <v>193</v>
      </c>
      <c r="O59" s="5"/>
      <c r="P59" s="5"/>
    </row>
    <row r="60" spans="1:16" x14ac:dyDescent="0.25">
      <c r="A60" s="1">
        <v>59</v>
      </c>
      <c r="B60" s="1" t="s">
        <v>2</v>
      </c>
      <c r="C60" s="1">
        <v>30</v>
      </c>
      <c r="D60" s="8">
        <v>30.28</v>
      </c>
      <c r="E60" s="9">
        <f t="shared" ca="1" si="0"/>
        <v>1.4351005917159761E-2</v>
      </c>
      <c r="F60" s="1">
        <v>1000</v>
      </c>
      <c r="G60" s="1">
        <v>2</v>
      </c>
      <c r="H60" s="1">
        <v>0.04</v>
      </c>
      <c r="I60" s="1">
        <v>0</v>
      </c>
      <c r="J60" s="1">
        <v>2</v>
      </c>
      <c r="K60" s="1">
        <v>0.5</v>
      </c>
      <c r="L60" s="8">
        <v>1</v>
      </c>
      <c r="M60" s="8">
        <f t="shared" si="1"/>
        <v>194</v>
      </c>
      <c r="O60" s="5"/>
      <c r="P60" s="5"/>
    </row>
    <row r="61" spans="1:16" x14ac:dyDescent="0.25">
      <c r="A61" s="1">
        <v>60</v>
      </c>
      <c r="B61" s="1" t="s">
        <v>2</v>
      </c>
      <c r="C61" s="1">
        <v>30</v>
      </c>
      <c r="D61" s="8">
        <v>30.27</v>
      </c>
      <c r="E61" s="9">
        <f t="shared" ca="1" si="0"/>
        <v>1.264674556213018E-2</v>
      </c>
      <c r="F61" s="1">
        <v>1000</v>
      </c>
      <c r="G61" s="1">
        <v>9</v>
      </c>
      <c r="H61" s="1">
        <v>0.04</v>
      </c>
      <c r="I61" s="1">
        <v>0</v>
      </c>
      <c r="J61" s="1">
        <v>9</v>
      </c>
      <c r="K61" s="1">
        <v>0.5</v>
      </c>
      <c r="L61" s="8">
        <v>4.5</v>
      </c>
      <c r="M61" s="8">
        <f t="shared" si="1"/>
        <v>198.5</v>
      </c>
      <c r="O61" s="5"/>
      <c r="P61" s="5"/>
    </row>
    <row r="62" spans="1:16" x14ac:dyDescent="0.25">
      <c r="A62" s="1">
        <v>61</v>
      </c>
      <c r="B62" s="1" t="s">
        <v>2</v>
      </c>
      <c r="C62" s="1">
        <v>30</v>
      </c>
      <c r="D62" s="8">
        <v>30.31</v>
      </c>
      <c r="E62" s="9">
        <f t="shared" ca="1" si="0"/>
        <v>1.5647455621301775E-2</v>
      </c>
      <c r="F62" s="1">
        <v>1000</v>
      </c>
      <c r="G62" s="1">
        <v>9</v>
      </c>
      <c r="H62" s="1">
        <v>0.04</v>
      </c>
      <c r="I62" s="1">
        <v>1</v>
      </c>
      <c r="J62" s="1">
        <v>10</v>
      </c>
      <c r="K62" s="1">
        <v>0.5</v>
      </c>
      <c r="L62" s="8">
        <v>5</v>
      </c>
      <c r="M62" s="8">
        <f t="shared" si="1"/>
        <v>203.5</v>
      </c>
      <c r="O62" s="5"/>
      <c r="P62" s="5"/>
    </row>
    <row r="63" spans="1:16" x14ac:dyDescent="0.25">
      <c r="A63" s="1">
        <v>62</v>
      </c>
      <c r="B63" s="1" t="s">
        <v>2</v>
      </c>
      <c r="C63" s="1">
        <v>30</v>
      </c>
      <c r="D63" s="8">
        <v>30.35</v>
      </c>
      <c r="E63" s="9">
        <f t="shared" ca="1" si="0"/>
        <v>1.4853136094674558E-2</v>
      </c>
      <c r="F63" s="1">
        <v>1000</v>
      </c>
      <c r="G63" s="1">
        <v>6</v>
      </c>
      <c r="H63" s="1">
        <v>0.04</v>
      </c>
      <c r="I63" s="1">
        <v>1</v>
      </c>
      <c r="J63" s="1">
        <v>7</v>
      </c>
      <c r="K63" s="1">
        <v>0.5</v>
      </c>
      <c r="L63" s="8">
        <v>3.5</v>
      </c>
      <c r="M63" s="8">
        <f t="shared" si="1"/>
        <v>207</v>
      </c>
      <c r="O63" s="5"/>
      <c r="P63" s="5"/>
    </row>
    <row r="64" spans="1:16" x14ac:dyDescent="0.25">
      <c r="A64" s="1">
        <v>63</v>
      </c>
      <c r="B64" s="1" t="s">
        <v>2</v>
      </c>
      <c r="C64" s="1">
        <v>30</v>
      </c>
      <c r="D64" s="8">
        <v>30.3</v>
      </c>
      <c r="E64" s="9">
        <f t="shared" ca="1" si="0"/>
        <v>1.4363786982248522E-2</v>
      </c>
      <c r="F64" s="1">
        <v>1000</v>
      </c>
      <c r="G64" s="1">
        <v>7</v>
      </c>
      <c r="H64" s="1">
        <v>0.04</v>
      </c>
      <c r="I64" s="1">
        <v>2</v>
      </c>
      <c r="J64" s="1">
        <v>9</v>
      </c>
      <c r="K64" s="1">
        <v>0.5</v>
      </c>
      <c r="L64" s="8">
        <v>4.5</v>
      </c>
      <c r="M64" s="8">
        <f t="shared" si="1"/>
        <v>211.5</v>
      </c>
      <c r="O64" s="5"/>
      <c r="P64" s="5"/>
    </row>
    <row r="65" spans="1:16" x14ac:dyDescent="0.25">
      <c r="A65" s="1">
        <v>64</v>
      </c>
      <c r="B65" s="1" t="s">
        <v>2</v>
      </c>
      <c r="C65" s="1">
        <v>30</v>
      </c>
      <c r="D65" s="8">
        <v>30.33</v>
      </c>
      <c r="E65" s="9">
        <f t="shared" ca="1" si="0"/>
        <v>1.4879408284023671E-2</v>
      </c>
      <c r="F65" s="1">
        <v>1000</v>
      </c>
      <c r="G65" s="1">
        <v>5</v>
      </c>
      <c r="H65" s="1">
        <v>0.04</v>
      </c>
      <c r="I65" s="1">
        <v>2</v>
      </c>
      <c r="J65" s="1">
        <v>7</v>
      </c>
      <c r="K65" s="1">
        <v>0.5</v>
      </c>
      <c r="L65" s="8">
        <v>3.5</v>
      </c>
      <c r="M65" s="8">
        <f t="shared" si="1"/>
        <v>215</v>
      </c>
      <c r="O65" s="5"/>
      <c r="P65" s="5"/>
    </row>
    <row r="66" spans="1:16" x14ac:dyDescent="0.25">
      <c r="A66" s="1">
        <v>65</v>
      </c>
      <c r="B66" s="1" t="s">
        <v>2</v>
      </c>
      <c r="C66" s="1">
        <v>30</v>
      </c>
      <c r="D66" s="8">
        <v>30.34</v>
      </c>
      <c r="E66" s="9">
        <f t="shared" ca="1" si="0"/>
        <v>1.4800000000000001E-2</v>
      </c>
      <c r="F66" s="1">
        <v>1000</v>
      </c>
      <c r="G66" s="1">
        <v>2</v>
      </c>
      <c r="H66" s="1">
        <v>0.04</v>
      </c>
      <c r="I66" s="1">
        <v>0</v>
      </c>
      <c r="J66" s="1">
        <v>2</v>
      </c>
      <c r="K66" s="1">
        <v>0.5</v>
      </c>
      <c r="L66" s="8">
        <v>1</v>
      </c>
      <c r="M66" s="8">
        <f t="shared" si="1"/>
        <v>216</v>
      </c>
      <c r="O66" s="5"/>
      <c r="P66" s="5"/>
    </row>
    <row r="67" spans="1:16" x14ac:dyDescent="0.25">
      <c r="A67" s="1">
        <v>66</v>
      </c>
      <c r="B67" s="1" t="s">
        <v>2</v>
      </c>
      <c r="C67" s="1">
        <v>30</v>
      </c>
      <c r="D67" s="8">
        <v>30.31</v>
      </c>
      <c r="E67" s="9">
        <f t="shared" ref="E67:E130" ca="1" si="2">IF($B67="Form_A1", 0.005 + (0.042 * ($A67/130)^2) + (RANDBETWEEN(-15,15)/10000), 0.005 + (0.042 * (($A67-130)/100)^2) + (RANDBETWEEN(-15,15)/10000))</f>
        <v>1.6225562130177517E-2</v>
      </c>
      <c r="F67" s="1">
        <v>1000</v>
      </c>
      <c r="G67" s="1">
        <v>6</v>
      </c>
      <c r="H67" s="1">
        <v>0.04</v>
      </c>
      <c r="I67" s="1">
        <v>1</v>
      </c>
      <c r="J67" s="1">
        <v>7</v>
      </c>
      <c r="K67" s="1">
        <v>0.5</v>
      </c>
      <c r="L67" s="8">
        <v>3.5</v>
      </c>
      <c r="M67" s="8">
        <f t="shared" si="1"/>
        <v>219.5</v>
      </c>
      <c r="O67" s="5"/>
      <c r="P67" s="5"/>
    </row>
    <row r="68" spans="1:16" x14ac:dyDescent="0.25">
      <c r="A68" s="1">
        <v>67</v>
      </c>
      <c r="B68" s="1" t="s">
        <v>2</v>
      </c>
      <c r="C68" s="1">
        <v>30</v>
      </c>
      <c r="D68" s="8">
        <v>30.33</v>
      </c>
      <c r="E68" s="9">
        <f t="shared" ca="1" si="2"/>
        <v>1.4656094674556213E-2</v>
      </c>
      <c r="F68" s="1">
        <v>1000</v>
      </c>
      <c r="G68" s="1">
        <v>2</v>
      </c>
      <c r="H68" s="1">
        <v>0.04</v>
      </c>
      <c r="I68" s="1">
        <v>0</v>
      </c>
      <c r="J68" s="1">
        <v>2</v>
      </c>
      <c r="K68" s="1">
        <v>0.5</v>
      </c>
      <c r="L68" s="8">
        <v>1</v>
      </c>
      <c r="M68" s="8">
        <f t="shared" ref="M68:M131" si="3">L68+M67</f>
        <v>220.5</v>
      </c>
      <c r="O68" s="5"/>
      <c r="P68" s="5"/>
    </row>
    <row r="69" spans="1:16" x14ac:dyDescent="0.25">
      <c r="A69" s="1">
        <v>68</v>
      </c>
      <c r="B69" s="1" t="s">
        <v>2</v>
      </c>
      <c r="C69" s="1">
        <v>30</v>
      </c>
      <c r="D69" s="8">
        <v>30.36</v>
      </c>
      <c r="E69" s="9">
        <f t="shared" ca="1" si="2"/>
        <v>1.5091597633136096E-2</v>
      </c>
      <c r="F69" s="1">
        <v>1000</v>
      </c>
      <c r="G69" s="1">
        <v>8</v>
      </c>
      <c r="H69" s="1">
        <v>0.04</v>
      </c>
      <c r="I69" s="1">
        <v>0</v>
      </c>
      <c r="J69" s="1">
        <v>8</v>
      </c>
      <c r="K69" s="1">
        <v>0.5</v>
      </c>
      <c r="L69" s="8">
        <v>4</v>
      </c>
      <c r="M69" s="8">
        <f t="shared" si="3"/>
        <v>224.5</v>
      </c>
      <c r="O69" s="5"/>
      <c r="P69" s="5"/>
    </row>
    <row r="70" spans="1:16" x14ac:dyDescent="0.25">
      <c r="A70" s="1">
        <v>69</v>
      </c>
      <c r="B70" s="1" t="s">
        <v>2</v>
      </c>
      <c r="C70" s="1">
        <v>30</v>
      </c>
      <c r="D70" s="8">
        <v>30.37</v>
      </c>
      <c r="E70" s="9">
        <f t="shared" ca="1" si="2"/>
        <v>1.5932071005917162E-2</v>
      </c>
      <c r="F70" s="1">
        <v>1000</v>
      </c>
      <c r="G70" s="1">
        <v>6</v>
      </c>
      <c r="H70" s="1">
        <v>0.04</v>
      </c>
      <c r="I70" s="1">
        <v>2</v>
      </c>
      <c r="J70" s="1">
        <v>8</v>
      </c>
      <c r="K70" s="1">
        <v>0.5</v>
      </c>
      <c r="L70" s="8">
        <v>4</v>
      </c>
      <c r="M70" s="8">
        <f t="shared" si="3"/>
        <v>228.5</v>
      </c>
      <c r="O70" s="5"/>
      <c r="P70" s="5"/>
    </row>
    <row r="71" spans="1:16" x14ac:dyDescent="0.25">
      <c r="A71" s="1">
        <v>70</v>
      </c>
      <c r="B71" s="1" t="s">
        <v>2</v>
      </c>
      <c r="C71" s="1">
        <v>30</v>
      </c>
      <c r="D71" s="8">
        <v>30.4</v>
      </c>
      <c r="E71" s="9">
        <f t="shared" ca="1" si="2"/>
        <v>1.6777514792899406E-2</v>
      </c>
      <c r="F71" s="1">
        <v>1000</v>
      </c>
      <c r="G71" s="1">
        <v>10</v>
      </c>
      <c r="H71" s="1">
        <v>0.04</v>
      </c>
      <c r="I71" s="1">
        <v>1</v>
      </c>
      <c r="J71" s="1">
        <v>11</v>
      </c>
      <c r="K71" s="1">
        <v>0.5</v>
      </c>
      <c r="L71" s="8">
        <v>5.5</v>
      </c>
      <c r="M71" s="8">
        <f t="shared" si="3"/>
        <v>234</v>
      </c>
      <c r="O71" s="5"/>
      <c r="P71" s="5"/>
    </row>
    <row r="72" spans="1:16" x14ac:dyDescent="0.25">
      <c r="A72" s="1">
        <v>71</v>
      </c>
      <c r="B72" s="1" t="s">
        <v>2</v>
      </c>
      <c r="C72" s="1">
        <v>30</v>
      </c>
      <c r="D72" s="8">
        <v>30.38</v>
      </c>
      <c r="E72" s="9">
        <f t="shared" ca="1" si="2"/>
        <v>1.8327928994082837E-2</v>
      </c>
      <c r="F72" s="1">
        <v>1000</v>
      </c>
      <c r="G72" s="1">
        <v>6</v>
      </c>
      <c r="H72" s="1">
        <v>0.04</v>
      </c>
      <c r="I72" s="1">
        <v>1</v>
      </c>
      <c r="J72" s="1">
        <v>7</v>
      </c>
      <c r="K72" s="1">
        <v>0.5</v>
      </c>
      <c r="L72" s="8">
        <v>3.5</v>
      </c>
      <c r="M72" s="8">
        <f t="shared" si="3"/>
        <v>237.5</v>
      </c>
      <c r="O72" s="5"/>
      <c r="P72" s="5"/>
    </row>
    <row r="73" spans="1:16" x14ac:dyDescent="0.25">
      <c r="A73" s="1">
        <v>72</v>
      </c>
      <c r="B73" s="1" t="s">
        <v>2</v>
      </c>
      <c r="C73" s="1">
        <v>30</v>
      </c>
      <c r="D73" s="8">
        <v>30.34</v>
      </c>
      <c r="E73" s="9">
        <f t="shared" ca="1" si="2"/>
        <v>1.7683313609467458E-2</v>
      </c>
      <c r="F73" s="1">
        <v>1000</v>
      </c>
      <c r="G73" s="1">
        <v>10</v>
      </c>
      <c r="H73" s="1">
        <v>0.04</v>
      </c>
      <c r="I73" s="1">
        <v>0</v>
      </c>
      <c r="J73" s="1">
        <v>10</v>
      </c>
      <c r="K73" s="1">
        <v>0.5</v>
      </c>
      <c r="L73" s="8">
        <v>5</v>
      </c>
      <c r="M73" s="8">
        <f t="shared" si="3"/>
        <v>242.5</v>
      </c>
      <c r="O73" s="5"/>
      <c r="P73" s="5"/>
    </row>
    <row r="74" spans="1:16" x14ac:dyDescent="0.25">
      <c r="A74" s="1">
        <v>73</v>
      </c>
      <c r="B74" s="1" t="s">
        <v>2</v>
      </c>
      <c r="C74" s="1">
        <v>30</v>
      </c>
      <c r="D74" s="8">
        <v>30.35</v>
      </c>
      <c r="E74" s="9">
        <f t="shared" ca="1" si="2"/>
        <v>1.8343668639053255E-2</v>
      </c>
      <c r="F74" s="1">
        <v>1000</v>
      </c>
      <c r="G74" s="1">
        <v>8</v>
      </c>
      <c r="H74" s="1">
        <v>0.04</v>
      </c>
      <c r="I74" s="1">
        <v>1</v>
      </c>
      <c r="J74" s="1">
        <v>9</v>
      </c>
      <c r="K74" s="1">
        <v>0.5</v>
      </c>
      <c r="L74" s="8">
        <v>4.5</v>
      </c>
      <c r="M74" s="8">
        <f t="shared" si="3"/>
        <v>247</v>
      </c>
      <c r="O74" s="5"/>
      <c r="P74" s="5"/>
    </row>
    <row r="75" spans="1:16" x14ac:dyDescent="0.25">
      <c r="A75" s="1">
        <v>74</v>
      </c>
      <c r="B75" s="1" t="s">
        <v>2</v>
      </c>
      <c r="C75" s="1">
        <v>30</v>
      </c>
      <c r="D75" s="8">
        <v>30.37</v>
      </c>
      <c r="E75" s="9">
        <f t="shared" ca="1" si="2"/>
        <v>2.010899408284024E-2</v>
      </c>
      <c r="F75" s="1">
        <v>1000</v>
      </c>
      <c r="G75" s="1">
        <v>9</v>
      </c>
      <c r="H75" s="1">
        <v>0.04</v>
      </c>
      <c r="I75" s="1">
        <v>1</v>
      </c>
      <c r="J75" s="1">
        <v>10</v>
      </c>
      <c r="K75" s="1">
        <v>0.5</v>
      </c>
      <c r="L75" s="8">
        <v>5</v>
      </c>
      <c r="M75" s="8">
        <f t="shared" si="3"/>
        <v>252</v>
      </c>
      <c r="O75" s="5"/>
      <c r="P75" s="5"/>
    </row>
    <row r="76" spans="1:16" x14ac:dyDescent="0.25">
      <c r="A76" s="1">
        <v>75</v>
      </c>
      <c r="B76" s="1" t="s">
        <v>2</v>
      </c>
      <c r="C76" s="1">
        <v>30</v>
      </c>
      <c r="D76" s="8">
        <v>30.36</v>
      </c>
      <c r="E76" s="9">
        <f t="shared" ca="1" si="2"/>
        <v>2.0479289940828403E-2</v>
      </c>
      <c r="F76" s="1">
        <v>1000</v>
      </c>
      <c r="G76" s="1">
        <v>6</v>
      </c>
      <c r="H76" s="1">
        <v>0.04</v>
      </c>
      <c r="I76" s="1">
        <v>1</v>
      </c>
      <c r="J76" s="1">
        <v>7</v>
      </c>
      <c r="K76" s="1">
        <v>0.5</v>
      </c>
      <c r="L76" s="8">
        <v>3.5</v>
      </c>
      <c r="M76" s="8">
        <f t="shared" si="3"/>
        <v>255.5</v>
      </c>
      <c r="O76" s="5"/>
      <c r="P76" s="5"/>
    </row>
    <row r="77" spans="1:16" x14ac:dyDescent="0.25">
      <c r="A77" s="1">
        <v>76</v>
      </c>
      <c r="B77" s="1" t="s">
        <v>2</v>
      </c>
      <c r="C77" s="1">
        <v>30</v>
      </c>
      <c r="D77" s="8">
        <v>30.38</v>
      </c>
      <c r="E77" s="9">
        <f t="shared" ca="1" si="2"/>
        <v>2.0354556213017756E-2</v>
      </c>
      <c r="F77" s="1">
        <v>1000</v>
      </c>
      <c r="G77" s="1">
        <v>2</v>
      </c>
      <c r="H77" s="1">
        <v>0.04</v>
      </c>
      <c r="I77" s="1">
        <v>0</v>
      </c>
      <c r="J77" s="1">
        <v>2</v>
      </c>
      <c r="K77" s="1">
        <v>0.5</v>
      </c>
      <c r="L77" s="8">
        <v>1</v>
      </c>
      <c r="M77" s="8">
        <f t="shared" si="3"/>
        <v>256.5</v>
      </c>
      <c r="O77" s="5"/>
      <c r="P77" s="5"/>
    </row>
    <row r="78" spans="1:16" x14ac:dyDescent="0.25">
      <c r="A78" s="1">
        <v>77</v>
      </c>
      <c r="B78" s="1" t="s">
        <v>2</v>
      </c>
      <c r="C78" s="1">
        <v>30</v>
      </c>
      <c r="D78" s="8">
        <v>30.37</v>
      </c>
      <c r="E78" s="9">
        <f t="shared" ca="1" si="2"/>
        <v>1.9934792899408284E-2</v>
      </c>
      <c r="F78" s="1">
        <v>1000</v>
      </c>
      <c r="G78" s="1">
        <v>9</v>
      </c>
      <c r="H78" s="1">
        <v>0.04</v>
      </c>
      <c r="I78" s="1">
        <v>0</v>
      </c>
      <c r="J78" s="1">
        <v>9</v>
      </c>
      <c r="K78" s="1">
        <v>0.5</v>
      </c>
      <c r="L78" s="8">
        <v>4.5</v>
      </c>
      <c r="M78" s="8">
        <f t="shared" si="3"/>
        <v>261</v>
      </c>
      <c r="O78" s="5"/>
      <c r="P78" s="5"/>
    </row>
    <row r="79" spans="1:16" x14ac:dyDescent="0.25">
      <c r="A79" s="1">
        <v>78</v>
      </c>
      <c r="B79" s="1" t="s">
        <v>2</v>
      </c>
      <c r="C79" s="1">
        <v>30</v>
      </c>
      <c r="D79" s="8">
        <v>30.36</v>
      </c>
      <c r="E79" s="9">
        <f t="shared" ca="1" si="2"/>
        <v>1.8919999999999999E-2</v>
      </c>
      <c r="F79" s="1">
        <v>1000</v>
      </c>
      <c r="G79" s="1">
        <v>9</v>
      </c>
      <c r="H79" s="1">
        <v>0.04</v>
      </c>
      <c r="I79" s="1">
        <v>2</v>
      </c>
      <c r="J79" s="1">
        <v>11</v>
      </c>
      <c r="K79" s="1">
        <v>0.5</v>
      </c>
      <c r="L79" s="8">
        <v>5.5</v>
      </c>
      <c r="M79" s="8">
        <f t="shared" si="3"/>
        <v>266.5</v>
      </c>
      <c r="O79" s="5"/>
      <c r="P79" s="5"/>
    </row>
    <row r="80" spans="1:16" x14ac:dyDescent="0.25">
      <c r="A80" s="1">
        <v>79</v>
      </c>
      <c r="B80" s="1" t="s">
        <v>2</v>
      </c>
      <c r="C80" s="1">
        <v>30</v>
      </c>
      <c r="D80" s="8">
        <v>30.41</v>
      </c>
      <c r="E80" s="9">
        <f t="shared" ca="1" si="2"/>
        <v>2.1210177514792899E-2</v>
      </c>
      <c r="F80" s="1">
        <v>1000</v>
      </c>
      <c r="G80" s="1">
        <v>7</v>
      </c>
      <c r="H80" s="1">
        <v>0.04</v>
      </c>
      <c r="I80" s="1">
        <v>2</v>
      </c>
      <c r="J80" s="1">
        <v>9</v>
      </c>
      <c r="K80" s="1">
        <v>0.5</v>
      </c>
      <c r="L80" s="8">
        <v>4.5</v>
      </c>
      <c r="M80" s="8">
        <f t="shared" si="3"/>
        <v>271</v>
      </c>
      <c r="O80" s="5"/>
      <c r="P80" s="5"/>
    </row>
    <row r="81" spans="1:16" x14ac:dyDescent="0.25">
      <c r="A81" s="1">
        <v>80</v>
      </c>
      <c r="B81" s="1" t="s">
        <v>2</v>
      </c>
      <c r="C81" s="1">
        <v>30</v>
      </c>
      <c r="D81" s="8">
        <v>30.43</v>
      </c>
      <c r="E81" s="9">
        <f t="shared" ca="1" si="2"/>
        <v>2.1305325443786986E-2</v>
      </c>
      <c r="F81" s="1">
        <v>1000</v>
      </c>
      <c r="G81" s="1">
        <v>10</v>
      </c>
      <c r="H81" s="1">
        <v>0.04</v>
      </c>
      <c r="I81" s="1">
        <v>2</v>
      </c>
      <c r="J81" s="1">
        <v>12</v>
      </c>
      <c r="K81" s="1">
        <v>0.5</v>
      </c>
      <c r="L81" s="8">
        <v>6</v>
      </c>
      <c r="M81" s="8">
        <f t="shared" si="3"/>
        <v>277</v>
      </c>
      <c r="O81" s="5"/>
      <c r="P81" s="5"/>
    </row>
    <row r="82" spans="1:16" x14ac:dyDescent="0.25">
      <c r="A82" s="1">
        <v>81</v>
      </c>
      <c r="B82" s="1" t="s">
        <v>2</v>
      </c>
      <c r="C82" s="1">
        <v>30</v>
      </c>
      <c r="D82" s="8">
        <v>30.38</v>
      </c>
      <c r="E82" s="9">
        <f t="shared" ca="1" si="2"/>
        <v>2.190544378698225E-2</v>
      </c>
      <c r="F82" s="1">
        <v>1000</v>
      </c>
      <c r="G82" s="1">
        <v>8</v>
      </c>
      <c r="H82" s="1">
        <v>0.04</v>
      </c>
      <c r="I82" s="1">
        <v>2</v>
      </c>
      <c r="J82" s="1">
        <v>10</v>
      </c>
      <c r="K82" s="1">
        <v>0.5</v>
      </c>
      <c r="L82" s="8">
        <v>5</v>
      </c>
      <c r="M82" s="8">
        <f t="shared" si="3"/>
        <v>282</v>
      </c>
      <c r="O82" s="5"/>
      <c r="P82" s="5"/>
    </row>
    <row r="83" spans="1:16" x14ac:dyDescent="0.25">
      <c r="A83" s="1">
        <v>82</v>
      </c>
      <c r="B83" s="1" t="s">
        <v>2</v>
      </c>
      <c r="C83" s="1">
        <v>30</v>
      </c>
      <c r="D83" s="8">
        <v>30.45</v>
      </c>
      <c r="E83" s="9">
        <f t="shared" ca="1" si="2"/>
        <v>2.0710532544378699E-2</v>
      </c>
      <c r="F83" s="1">
        <v>1000</v>
      </c>
      <c r="G83" s="1">
        <v>1</v>
      </c>
      <c r="H83" s="1">
        <v>0.04</v>
      </c>
      <c r="I83" s="1">
        <v>0</v>
      </c>
      <c r="J83" s="1">
        <v>1</v>
      </c>
      <c r="K83" s="1">
        <v>0.5</v>
      </c>
      <c r="L83" s="8">
        <v>0.5</v>
      </c>
      <c r="M83" s="8">
        <f t="shared" si="3"/>
        <v>282.5</v>
      </c>
      <c r="O83" s="5"/>
      <c r="P83" s="5"/>
    </row>
    <row r="84" spans="1:16" x14ac:dyDescent="0.25">
      <c r="A84" s="1">
        <v>83</v>
      </c>
      <c r="B84" s="1" t="s">
        <v>2</v>
      </c>
      <c r="C84" s="1">
        <v>30</v>
      </c>
      <c r="D84" s="8">
        <v>30.41</v>
      </c>
      <c r="E84" s="9">
        <f t="shared" ca="1" si="2"/>
        <v>2.2920591715976331E-2</v>
      </c>
      <c r="F84" s="1">
        <v>1000</v>
      </c>
      <c r="G84" s="1">
        <v>9</v>
      </c>
      <c r="H84" s="1">
        <v>0.04</v>
      </c>
      <c r="I84" s="1">
        <v>2</v>
      </c>
      <c r="J84" s="1">
        <v>11</v>
      </c>
      <c r="K84" s="1">
        <v>0.5</v>
      </c>
      <c r="L84" s="8">
        <v>5.5</v>
      </c>
      <c r="M84" s="8">
        <f t="shared" si="3"/>
        <v>288</v>
      </c>
      <c r="O84" s="5"/>
      <c r="P84" s="5"/>
    </row>
    <row r="85" spans="1:16" x14ac:dyDescent="0.25">
      <c r="A85" s="1">
        <v>84</v>
      </c>
      <c r="B85" s="1" t="s">
        <v>2</v>
      </c>
      <c r="C85" s="1">
        <v>30</v>
      </c>
      <c r="D85" s="8">
        <v>30.42</v>
      </c>
      <c r="E85" s="9">
        <f t="shared" ca="1" si="2"/>
        <v>2.2235621301775151E-2</v>
      </c>
      <c r="F85" s="1">
        <v>1000</v>
      </c>
      <c r="G85" s="1">
        <v>7</v>
      </c>
      <c r="H85" s="1">
        <v>0.04</v>
      </c>
      <c r="I85" s="1">
        <v>0</v>
      </c>
      <c r="J85" s="1">
        <v>7</v>
      </c>
      <c r="K85" s="1">
        <v>0.5</v>
      </c>
      <c r="L85" s="8">
        <v>3.5</v>
      </c>
      <c r="M85" s="8">
        <f t="shared" si="3"/>
        <v>291.5</v>
      </c>
      <c r="O85" s="5"/>
      <c r="P85" s="5"/>
    </row>
    <row r="86" spans="1:16" x14ac:dyDescent="0.25">
      <c r="A86" s="1">
        <v>85</v>
      </c>
      <c r="B86" s="1" t="s">
        <v>2</v>
      </c>
      <c r="C86" s="1">
        <v>30</v>
      </c>
      <c r="D86" s="8">
        <v>30.42</v>
      </c>
      <c r="E86" s="9">
        <f t="shared" ca="1" si="2"/>
        <v>2.1655621301775153E-2</v>
      </c>
      <c r="F86" s="1">
        <v>1000</v>
      </c>
      <c r="G86" s="1">
        <v>5</v>
      </c>
      <c r="H86" s="1">
        <v>0.04</v>
      </c>
      <c r="I86" s="1">
        <v>0</v>
      </c>
      <c r="J86" s="1">
        <v>5</v>
      </c>
      <c r="K86" s="1">
        <v>0.5</v>
      </c>
      <c r="L86" s="8">
        <v>2.5</v>
      </c>
      <c r="M86" s="8">
        <f t="shared" si="3"/>
        <v>294</v>
      </c>
      <c r="O86" s="5"/>
      <c r="P86" s="5"/>
    </row>
    <row r="87" spans="1:16" x14ac:dyDescent="0.25">
      <c r="A87" s="1">
        <v>86</v>
      </c>
      <c r="B87" s="1" t="s">
        <v>2</v>
      </c>
      <c r="C87" s="1">
        <v>30</v>
      </c>
      <c r="D87" s="8">
        <v>30.44</v>
      </c>
      <c r="E87" s="9">
        <f t="shared" ca="1" si="2"/>
        <v>2.3780591715976334E-2</v>
      </c>
      <c r="F87" s="1">
        <v>1000</v>
      </c>
      <c r="G87" s="1">
        <v>10</v>
      </c>
      <c r="H87" s="1">
        <v>0.04</v>
      </c>
      <c r="I87" s="1">
        <v>0</v>
      </c>
      <c r="J87" s="1">
        <v>10</v>
      </c>
      <c r="K87" s="1">
        <v>0.5</v>
      </c>
      <c r="L87" s="8">
        <v>5</v>
      </c>
      <c r="M87" s="8">
        <f t="shared" si="3"/>
        <v>299</v>
      </c>
      <c r="O87" s="5"/>
      <c r="P87" s="5"/>
    </row>
    <row r="88" spans="1:16" x14ac:dyDescent="0.25">
      <c r="A88" s="1">
        <v>87</v>
      </c>
      <c r="B88" s="1" t="s">
        <v>2</v>
      </c>
      <c r="C88" s="1">
        <v>30</v>
      </c>
      <c r="D88" s="8">
        <v>30.43</v>
      </c>
      <c r="E88" s="9">
        <f t="shared" ca="1" si="2"/>
        <v>2.5010532544378697E-2</v>
      </c>
      <c r="F88" s="1">
        <v>1000</v>
      </c>
      <c r="G88" s="1">
        <v>4</v>
      </c>
      <c r="H88" s="1">
        <v>0.04</v>
      </c>
      <c r="I88" s="1">
        <v>2</v>
      </c>
      <c r="J88" s="1">
        <v>6</v>
      </c>
      <c r="K88" s="1">
        <v>0.5</v>
      </c>
      <c r="L88" s="8">
        <v>3</v>
      </c>
      <c r="M88" s="8">
        <f t="shared" si="3"/>
        <v>302</v>
      </c>
      <c r="O88" s="5"/>
      <c r="P88" s="5"/>
    </row>
    <row r="89" spans="1:16" x14ac:dyDescent="0.25">
      <c r="A89" s="1">
        <v>88</v>
      </c>
      <c r="B89" s="1" t="s">
        <v>2</v>
      </c>
      <c r="C89" s="1">
        <v>30</v>
      </c>
      <c r="D89" s="8">
        <v>30.42</v>
      </c>
      <c r="E89" s="9">
        <f t="shared" ca="1" si="2"/>
        <v>2.4045443786982257E-2</v>
      </c>
      <c r="F89" s="1">
        <v>1000</v>
      </c>
      <c r="G89" s="1">
        <v>5</v>
      </c>
      <c r="H89" s="1">
        <v>0.04</v>
      </c>
      <c r="I89" s="1">
        <v>2</v>
      </c>
      <c r="J89" s="1">
        <v>7</v>
      </c>
      <c r="K89" s="1">
        <v>0.5</v>
      </c>
      <c r="L89" s="8">
        <v>3.5</v>
      </c>
      <c r="M89" s="8">
        <f t="shared" si="3"/>
        <v>305.5</v>
      </c>
      <c r="O89" s="5"/>
      <c r="P89" s="5"/>
    </row>
    <row r="90" spans="1:16" x14ac:dyDescent="0.25">
      <c r="A90" s="1">
        <v>89</v>
      </c>
      <c r="B90" s="1" t="s">
        <v>2</v>
      </c>
      <c r="C90" s="1">
        <v>30</v>
      </c>
      <c r="D90" s="8">
        <v>30.45</v>
      </c>
      <c r="E90" s="9">
        <f t="shared" ca="1" si="2"/>
        <v>2.6085325443786982E-2</v>
      </c>
      <c r="F90" s="1">
        <v>1000</v>
      </c>
      <c r="G90" s="1">
        <v>3</v>
      </c>
      <c r="H90" s="1">
        <v>0.04</v>
      </c>
      <c r="I90" s="1">
        <v>2</v>
      </c>
      <c r="J90" s="1">
        <v>5</v>
      </c>
      <c r="K90" s="1">
        <v>0.5</v>
      </c>
      <c r="L90" s="8">
        <v>2.5</v>
      </c>
      <c r="M90" s="8">
        <f t="shared" si="3"/>
        <v>308</v>
      </c>
      <c r="O90" s="5"/>
      <c r="P90" s="5"/>
    </row>
    <row r="91" spans="1:16" x14ac:dyDescent="0.25">
      <c r="A91" s="1">
        <v>90</v>
      </c>
      <c r="B91" s="1" t="s">
        <v>2</v>
      </c>
      <c r="C91" s="1">
        <v>30</v>
      </c>
      <c r="D91" s="8">
        <v>30.43</v>
      </c>
      <c r="E91" s="9">
        <f t="shared" ca="1" si="2"/>
        <v>2.4730177514792898E-2</v>
      </c>
      <c r="F91" s="1">
        <v>1000</v>
      </c>
      <c r="G91" s="1">
        <v>2</v>
      </c>
      <c r="H91" s="1">
        <v>0.04</v>
      </c>
      <c r="I91" s="1">
        <v>1</v>
      </c>
      <c r="J91" s="1">
        <v>3</v>
      </c>
      <c r="K91" s="1">
        <v>0.5</v>
      </c>
      <c r="L91" s="8">
        <v>1.5</v>
      </c>
      <c r="M91" s="8">
        <f t="shared" si="3"/>
        <v>309.5</v>
      </c>
      <c r="O91" s="5"/>
      <c r="P91" s="5"/>
    </row>
    <row r="92" spans="1:16" x14ac:dyDescent="0.25">
      <c r="A92" s="1">
        <v>91</v>
      </c>
      <c r="B92" s="1" t="s">
        <v>2</v>
      </c>
      <c r="C92" s="1">
        <v>30</v>
      </c>
      <c r="D92" s="8">
        <v>30.47</v>
      </c>
      <c r="E92" s="9">
        <f t="shared" ca="1" si="2"/>
        <v>2.708E-2</v>
      </c>
      <c r="F92" s="1">
        <v>1000</v>
      </c>
      <c r="G92" s="1">
        <v>6</v>
      </c>
      <c r="H92" s="1">
        <v>0.04</v>
      </c>
      <c r="I92" s="1">
        <v>2</v>
      </c>
      <c r="J92" s="1">
        <v>8</v>
      </c>
      <c r="K92" s="1">
        <v>0.5</v>
      </c>
      <c r="L92" s="8">
        <v>4</v>
      </c>
      <c r="M92" s="8">
        <f t="shared" si="3"/>
        <v>313.5</v>
      </c>
      <c r="O92" s="5"/>
      <c r="P92" s="5"/>
    </row>
    <row r="93" spans="1:16" x14ac:dyDescent="0.25">
      <c r="A93" s="1">
        <v>92</v>
      </c>
      <c r="B93" s="1" t="s">
        <v>2</v>
      </c>
      <c r="C93" s="1">
        <v>30</v>
      </c>
      <c r="D93" s="8">
        <v>30.45</v>
      </c>
      <c r="E93" s="9">
        <f t="shared" ca="1" si="2"/>
        <v>2.6734792899408288E-2</v>
      </c>
      <c r="F93" s="1">
        <v>1000</v>
      </c>
      <c r="G93" s="1">
        <v>4</v>
      </c>
      <c r="H93" s="1">
        <v>0.04</v>
      </c>
      <c r="I93" s="1">
        <v>1</v>
      </c>
      <c r="J93" s="1">
        <v>5</v>
      </c>
      <c r="K93" s="1">
        <v>0.5</v>
      </c>
      <c r="L93" s="8">
        <v>2.5</v>
      </c>
      <c r="M93" s="8">
        <f t="shared" si="3"/>
        <v>316</v>
      </c>
      <c r="O93" s="5"/>
      <c r="P93" s="5"/>
    </row>
    <row r="94" spans="1:16" x14ac:dyDescent="0.25">
      <c r="A94" s="1">
        <v>93</v>
      </c>
      <c r="B94" s="1" t="s">
        <v>2</v>
      </c>
      <c r="C94" s="1">
        <v>30</v>
      </c>
      <c r="D94" s="8">
        <v>30.42</v>
      </c>
      <c r="E94" s="9">
        <f t="shared" ca="1" si="2"/>
        <v>2.5494556213017754E-2</v>
      </c>
      <c r="F94" s="1">
        <v>1000</v>
      </c>
      <c r="G94" s="1">
        <v>10</v>
      </c>
      <c r="H94" s="1">
        <v>0.04</v>
      </c>
      <c r="I94" s="1">
        <v>0</v>
      </c>
      <c r="J94" s="1">
        <v>10</v>
      </c>
      <c r="K94" s="1">
        <v>0.5</v>
      </c>
      <c r="L94" s="8">
        <v>5</v>
      </c>
      <c r="M94" s="8">
        <f t="shared" si="3"/>
        <v>321</v>
      </c>
      <c r="O94" s="5"/>
      <c r="P94" s="5"/>
    </row>
    <row r="95" spans="1:16" x14ac:dyDescent="0.25">
      <c r="A95" s="1">
        <v>94</v>
      </c>
      <c r="B95" s="1" t="s">
        <v>2</v>
      </c>
      <c r="C95" s="1">
        <v>30</v>
      </c>
      <c r="D95" s="8">
        <v>30.46</v>
      </c>
      <c r="E95" s="9">
        <f t="shared" ca="1" si="2"/>
        <v>2.6859289940828403E-2</v>
      </c>
      <c r="F95" s="1">
        <v>1000</v>
      </c>
      <c r="G95" s="1">
        <v>6</v>
      </c>
      <c r="H95" s="1">
        <v>0.04</v>
      </c>
      <c r="I95" s="1">
        <v>1</v>
      </c>
      <c r="J95" s="1">
        <v>7</v>
      </c>
      <c r="K95" s="1">
        <v>0.5</v>
      </c>
      <c r="L95" s="8">
        <v>3.5</v>
      </c>
      <c r="M95" s="8">
        <f t="shared" si="3"/>
        <v>324.5</v>
      </c>
      <c r="O95" s="5"/>
      <c r="P95" s="5"/>
    </row>
    <row r="96" spans="1:16" x14ac:dyDescent="0.25">
      <c r="A96" s="1">
        <v>95</v>
      </c>
      <c r="B96" s="1" t="s">
        <v>2</v>
      </c>
      <c r="C96" s="1">
        <v>30</v>
      </c>
      <c r="D96" s="8">
        <v>30.5</v>
      </c>
      <c r="E96" s="9">
        <f t="shared" ca="1" si="2"/>
        <v>2.8928994082840238E-2</v>
      </c>
      <c r="F96" s="1">
        <v>1000</v>
      </c>
      <c r="G96" s="1">
        <v>2</v>
      </c>
      <c r="H96" s="1">
        <v>0.04</v>
      </c>
      <c r="I96" s="1">
        <v>20</v>
      </c>
      <c r="J96" s="1">
        <v>22</v>
      </c>
      <c r="K96" s="1">
        <v>0.5</v>
      </c>
      <c r="L96" s="8">
        <v>11</v>
      </c>
      <c r="M96" s="8">
        <f t="shared" si="3"/>
        <v>335.5</v>
      </c>
      <c r="O96" s="5"/>
      <c r="P96" s="5"/>
    </row>
    <row r="97" spans="1:16" x14ac:dyDescent="0.25">
      <c r="A97" s="1">
        <v>96</v>
      </c>
      <c r="B97" s="1" t="s">
        <v>2</v>
      </c>
      <c r="C97" s="1">
        <v>30</v>
      </c>
      <c r="D97" s="8">
        <v>30.49</v>
      </c>
      <c r="E97" s="9">
        <f t="shared" ca="1" si="2"/>
        <v>2.9403668639053263E-2</v>
      </c>
      <c r="F97" s="1">
        <v>1000</v>
      </c>
      <c r="G97" s="1">
        <v>7</v>
      </c>
      <c r="H97" s="1">
        <v>0.04</v>
      </c>
      <c r="I97" s="1">
        <v>20</v>
      </c>
      <c r="J97" s="1">
        <v>27</v>
      </c>
      <c r="K97" s="1">
        <v>0.5</v>
      </c>
      <c r="L97" s="8">
        <v>13.5</v>
      </c>
      <c r="M97" s="8">
        <f t="shared" si="3"/>
        <v>349</v>
      </c>
      <c r="O97" s="5"/>
      <c r="P97" s="5"/>
    </row>
    <row r="98" spans="1:16" x14ac:dyDescent="0.25">
      <c r="A98" s="1">
        <v>97</v>
      </c>
      <c r="B98" s="1" t="s">
        <v>2</v>
      </c>
      <c r="C98" s="1">
        <v>30</v>
      </c>
      <c r="D98" s="8">
        <v>30.49</v>
      </c>
      <c r="E98" s="9">
        <f t="shared" ca="1" si="2"/>
        <v>2.8183313609467461E-2</v>
      </c>
      <c r="F98" s="1">
        <v>1000</v>
      </c>
      <c r="G98" s="1">
        <v>9</v>
      </c>
      <c r="H98" s="1">
        <v>0.04</v>
      </c>
      <c r="I98" s="1">
        <v>1</v>
      </c>
      <c r="J98" s="1">
        <v>10</v>
      </c>
      <c r="K98" s="1">
        <v>0.5</v>
      </c>
      <c r="L98" s="8">
        <v>5</v>
      </c>
      <c r="M98" s="8">
        <f t="shared" si="3"/>
        <v>354</v>
      </c>
      <c r="O98" s="5"/>
      <c r="P98" s="5"/>
    </row>
    <row r="99" spans="1:16" x14ac:dyDescent="0.25">
      <c r="A99" s="1">
        <v>98</v>
      </c>
      <c r="B99" s="1" t="s">
        <v>2</v>
      </c>
      <c r="C99" s="1">
        <v>30</v>
      </c>
      <c r="D99" s="8">
        <v>30.47</v>
      </c>
      <c r="E99" s="9">
        <f t="shared" ca="1" si="2"/>
        <v>2.8167928994082842E-2</v>
      </c>
      <c r="F99" s="1">
        <v>1000</v>
      </c>
      <c r="G99" s="1">
        <v>8</v>
      </c>
      <c r="H99" s="1">
        <v>0.04</v>
      </c>
      <c r="I99" s="1">
        <v>1</v>
      </c>
      <c r="J99" s="1">
        <v>9</v>
      </c>
      <c r="K99" s="1">
        <v>0.5</v>
      </c>
      <c r="L99" s="8">
        <v>4.5</v>
      </c>
      <c r="M99" s="8">
        <f t="shared" si="3"/>
        <v>358.5</v>
      </c>
      <c r="O99" s="5"/>
      <c r="P99" s="5"/>
    </row>
    <row r="100" spans="1:16" x14ac:dyDescent="0.25">
      <c r="A100" s="1">
        <v>99</v>
      </c>
      <c r="B100" s="1" t="s">
        <v>2</v>
      </c>
      <c r="C100" s="1">
        <v>30</v>
      </c>
      <c r="D100" s="8">
        <v>30.51</v>
      </c>
      <c r="E100" s="9">
        <f t="shared" ca="1" si="2"/>
        <v>2.835751479289941E-2</v>
      </c>
      <c r="F100" s="1">
        <v>1000</v>
      </c>
      <c r="G100" s="1">
        <v>1</v>
      </c>
      <c r="H100" s="1">
        <v>0.04</v>
      </c>
      <c r="I100" s="1">
        <v>21</v>
      </c>
      <c r="J100" s="1">
        <v>22</v>
      </c>
      <c r="K100" s="1">
        <v>0.5</v>
      </c>
      <c r="L100" s="8">
        <v>11</v>
      </c>
      <c r="M100" s="8">
        <f t="shared" si="3"/>
        <v>369.5</v>
      </c>
      <c r="O100" s="5"/>
      <c r="P100" s="5"/>
    </row>
    <row r="101" spans="1:16" x14ac:dyDescent="0.25">
      <c r="A101" s="1">
        <v>100</v>
      </c>
      <c r="B101" s="1" t="s">
        <v>2</v>
      </c>
      <c r="C101" s="1">
        <v>30</v>
      </c>
      <c r="D101" s="8">
        <v>30.47</v>
      </c>
      <c r="E101" s="9">
        <f t="shared" ca="1" si="2"/>
        <v>3.1052071005917163E-2</v>
      </c>
      <c r="F101" s="1">
        <v>1000</v>
      </c>
      <c r="G101" s="1">
        <v>10</v>
      </c>
      <c r="H101" s="1">
        <v>0.04</v>
      </c>
      <c r="I101" s="1">
        <v>20</v>
      </c>
      <c r="J101" s="1">
        <v>30</v>
      </c>
      <c r="K101" s="1">
        <v>0.5</v>
      </c>
      <c r="L101" s="8">
        <v>15</v>
      </c>
      <c r="M101" s="8">
        <f t="shared" si="3"/>
        <v>384.5</v>
      </c>
      <c r="O101" s="5"/>
      <c r="P101" s="5"/>
    </row>
    <row r="102" spans="1:16" x14ac:dyDescent="0.25">
      <c r="A102" s="1">
        <v>101</v>
      </c>
      <c r="B102" s="1" t="s">
        <v>2</v>
      </c>
      <c r="C102" s="1">
        <v>30</v>
      </c>
      <c r="D102" s="8">
        <v>30.51</v>
      </c>
      <c r="E102" s="9">
        <f t="shared" ca="1" si="2"/>
        <v>2.9851597633136096E-2</v>
      </c>
      <c r="F102" s="1">
        <v>1000</v>
      </c>
      <c r="G102" s="1">
        <v>4</v>
      </c>
      <c r="H102" s="1">
        <v>0.04</v>
      </c>
      <c r="I102" s="1">
        <v>21</v>
      </c>
      <c r="J102" s="1">
        <v>25</v>
      </c>
      <c r="K102" s="1">
        <v>0.5</v>
      </c>
      <c r="L102" s="8">
        <v>12.5</v>
      </c>
      <c r="M102" s="8">
        <f t="shared" si="3"/>
        <v>397</v>
      </c>
      <c r="O102" s="5"/>
      <c r="P102" s="5"/>
    </row>
    <row r="103" spans="1:16" x14ac:dyDescent="0.25">
      <c r="A103" s="1">
        <v>102</v>
      </c>
      <c r="B103" s="1" t="s">
        <v>2</v>
      </c>
      <c r="C103" s="1">
        <v>30</v>
      </c>
      <c r="D103" s="8">
        <v>30.5</v>
      </c>
      <c r="E103" s="9">
        <f t="shared" ca="1" si="2"/>
        <v>2.9756094674556217E-2</v>
      </c>
      <c r="F103" s="1">
        <v>1000</v>
      </c>
      <c r="G103" s="1">
        <v>6</v>
      </c>
      <c r="H103" s="1">
        <v>0.04</v>
      </c>
      <c r="I103" s="1">
        <v>21</v>
      </c>
      <c r="J103" s="1">
        <v>27</v>
      </c>
      <c r="K103" s="1">
        <v>0.5</v>
      </c>
      <c r="L103" s="8">
        <v>13.5</v>
      </c>
      <c r="M103" s="8">
        <f t="shared" si="3"/>
        <v>410.5</v>
      </c>
      <c r="O103" s="5"/>
      <c r="P103" s="5"/>
    </row>
    <row r="104" spans="1:16" x14ac:dyDescent="0.25">
      <c r="A104" s="1">
        <v>103</v>
      </c>
      <c r="B104" s="1" t="s">
        <v>2</v>
      </c>
      <c r="C104" s="1">
        <v>30</v>
      </c>
      <c r="D104" s="8">
        <v>30.53</v>
      </c>
      <c r="E104" s="9">
        <f t="shared" ca="1" si="2"/>
        <v>3.2565562130177514E-2</v>
      </c>
      <c r="F104" s="1">
        <v>1000</v>
      </c>
      <c r="G104" s="1">
        <v>2</v>
      </c>
      <c r="H104" s="1">
        <v>0.04</v>
      </c>
      <c r="I104" s="1">
        <v>24</v>
      </c>
      <c r="J104" s="1">
        <v>26</v>
      </c>
      <c r="K104" s="1">
        <v>0.5</v>
      </c>
      <c r="L104" s="8">
        <v>13</v>
      </c>
      <c r="M104" s="8">
        <f t="shared" si="3"/>
        <v>423.5</v>
      </c>
      <c r="O104" s="5"/>
      <c r="P104" s="5"/>
    </row>
    <row r="105" spans="1:16" x14ac:dyDescent="0.25">
      <c r="A105" s="1">
        <v>104</v>
      </c>
      <c r="B105" s="1" t="s">
        <v>2</v>
      </c>
      <c r="C105" s="1">
        <v>30</v>
      </c>
      <c r="D105" s="8">
        <v>30.52</v>
      </c>
      <c r="E105" s="9">
        <f t="shared" ca="1" si="2"/>
        <v>3.2980000000000002E-2</v>
      </c>
      <c r="F105" s="1">
        <v>1000</v>
      </c>
      <c r="G105" s="1">
        <v>3</v>
      </c>
      <c r="H105" s="1">
        <v>0.04</v>
      </c>
      <c r="I105" s="1">
        <v>25</v>
      </c>
      <c r="J105" s="1">
        <v>28</v>
      </c>
      <c r="K105" s="1">
        <v>0.5</v>
      </c>
      <c r="L105" s="8">
        <v>14</v>
      </c>
      <c r="M105" s="8">
        <f t="shared" si="3"/>
        <v>437.5</v>
      </c>
      <c r="O105" s="5"/>
      <c r="P105" s="5"/>
    </row>
    <row r="106" spans="1:16" x14ac:dyDescent="0.25">
      <c r="A106" s="1">
        <v>105</v>
      </c>
      <c r="B106" s="1" t="s">
        <v>2</v>
      </c>
      <c r="C106" s="1">
        <v>30</v>
      </c>
      <c r="D106" s="8">
        <v>30.53</v>
      </c>
      <c r="E106" s="9">
        <f t="shared" ca="1" si="2"/>
        <v>3.1199408284023671E-2</v>
      </c>
      <c r="F106" s="1">
        <v>1000</v>
      </c>
      <c r="G106" s="1">
        <v>5</v>
      </c>
      <c r="H106" s="1">
        <v>0.04</v>
      </c>
      <c r="I106" s="1">
        <v>21</v>
      </c>
      <c r="J106" s="1">
        <v>26</v>
      </c>
      <c r="K106" s="1">
        <v>0.5</v>
      </c>
      <c r="L106" s="8">
        <v>13</v>
      </c>
      <c r="M106" s="8">
        <f t="shared" si="3"/>
        <v>450.5</v>
      </c>
      <c r="O106" s="5"/>
      <c r="P106" s="5"/>
    </row>
    <row r="107" spans="1:16" x14ac:dyDescent="0.25">
      <c r="A107" s="1">
        <v>106</v>
      </c>
      <c r="B107" s="1" t="s">
        <v>2</v>
      </c>
      <c r="C107" s="1">
        <v>30</v>
      </c>
      <c r="D107" s="8">
        <v>30.51</v>
      </c>
      <c r="E107" s="9">
        <f t="shared" ca="1" si="2"/>
        <v>3.3723786982248524E-2</v>
      </c>
      <c r="F107" s="1">
        <v>1000</v>
      </c>
      <c r="G107" s="1">
        <v>10</v>
      </c>
      <c r="H107" s="1">
        <v>0.04</v>
      </c>
      <c r="I107" s="1">
        <v>28</v>
      </c>
      <c r="J107" s="1">
        <v>38</v>
      </c>
      <c r="K107" s="1">
        <v>0.5</v>
      </c>
      <c r="L107" s="8">
        <v>19</v>
      </c>
      <c r="M107" s="8">
        <f t="shared" si="3"/>
        <v>469.5</v>
      </c>
      <c r="O107" s="5"/>
      <c r="P107" s="5"/>
    </row>
    <row r="108" spans="1:16" x14ac:dyDescent="0.25">
      <c r="A108" s="1">
        <v>107</v>
      </c>
      <c r="B108" s="1" t="s">
        <v>2</v>
      </c>
      <c r="C108" s="1">
        <v>30</v>
      </c>
      <c r="D108" s="8">
        <v>30.51</v>
      </c>
      <c r="E108" s="9">
        <f t="shared" ca="1" si="2"/>
        <v>3.3953136094674555E-2</v>
      </c>
      <c r="F108" s="1">
        <v>1000</v>
      </c>
      <c r="G108" s="1">
        <v>9</v>
      </c>
      <c r="H108" s="1">
        <v>0.04</v>
      </c>
      <c r="I108" s="1">
        <v>25</v>
      </c>
      <c r="J108" s="1">
        <v>34</v>
      </c>
      <c r="K108" s="1">
        <v>0.5</v>
      </c>
      <c r="L108" s="8">
        <v>17</v>
      </c>
      <c r="M108" s="8">
        <f t="shared" si="3"/>
        <v>486.5</v>
      </c>
      <c r="O108" s="5"/>
      <c r="P108" s="5"/>
    </row>
    <row r="109" spans="1:16" x14ac:dyDescent="0.25">
      <c r="A109" s="1">
        <v>108</v>
      </c>
      <c r="B109" s="1" t="s">
        <v>2</v>
      </c>
      <c r="C109" s="1">
        <v>30</v>
      </c>
      <c r="D109" s="8">
        <v>30.53</v>
      </c>
      <c r="E109" s="9">
        <f t="shared" ca="1" si="2"/>
        <v>3.4987455621301781E-2</v>
      </c>
      <c r="F109" s="1">
        <v>1000</v>
      </c>
      <c r="G109" s="1">
        <v>10</v>
      </c>
      <c r="H109" s="1">
        <v>0.04</v>
      </c>
      <c r="I109" s="1">
        <v>31</v>
      </c>
      <c r="J109" s="1">
        <v>41</v>
      </c>
      <c r="K109" s="1">
        <v>0.5</v>
      </c>
      <c r="L109" s="8">
        <v>20.5</v>
      </c>
      <c r="M109" s="8">
        <f t="shared" si="3"/>
        <v>507</v>
      </c>
      <c r="O109" s="5"/>
      <c r="P109" s="5"/>
    </row>
    <row r="110" spans="1:16" x14ac:dyDescent="0.25">
      <c r="A110" s="1">
        <v>109</v>
      </c>
      <c r="B110" s="1" t="s">
        <v>2</v>
      </c>
      <c r="C110" s="1">
        <v>30</v>
      </c>
      <c r="D110" s="8">
        <v>30.54</v>
      </c>
      <c r="E110" s="9">
        <f t="shared" ca="1" si="2"/>
        <v>3.5926745562130179E-2</v>
      </c>
      <c r="F110" s="1">
        <v>1000</v>
      </c>
      <c r="G110" s="1">
        <v>8</v>
      </c>
      <c r="H110" s="1">
        <v>0.04</v>
      </c>
      <c r="I110" s="1">
        <v>32</v>
      </c>
      <c r="J110" s="1">
        <v>40</v>
      </c>
      <c r="K110" s="1">
        <v>0.5</v>
      </c>
      <c r="L110" s="8">
        <v>20</v>
      </c>
      <c r="M110" s="8">
        <f t="shared" si="3"/>
        <v>527</v>
      </c>
      <c r="O110" s="5"/>
      <c r="P110" s="5"/>
    </row>
    <row r="111" spans="1:16" x14ac:dyDescent="0.25">
      <c r="A111" s="1">
        <v>110</v>
      </c>
      <c r="B111" s="1" t="s">
        <v>2</v>
      </c>
      <c r="C111" s="1">
        <v>30</v>
      </c>
      <c r="D111" s="8">
        <v>30.52</v>
      </c>
      <c r="E111" s="9">
        <f t="shared" ca="1" si="2"/>
        <v>3.3871005917159767E-2</v>
      </c>
      <c r="F111" s="1">
        <v>1000</v>
      </c>
      <c r="G111" s="1">
        <v>6</v>
      </c>
      <c r="H111" s="1">
        <v>0.04</v>
      </c>
      <c r="I111" s="1">
        <v>34</v>
      </c>
      <c r="J111" s="1">
        <v>40</v>
      </c>
      <c r="K111" s="1">
        <v>0.5</v>
      </c>
      <c r="L111" s="8">
        <v>20</v>
      </c>
      <c r="M111" s="8">
        <f t="shared" si="3"/>
        <v>547</v>
      </c>
      <c r="O111" s="5"/>
      <c r="P111" s="5"/>
    </row>
    <row r="112" spans="1:16" x14ac:dyDescent="0.25">
      <c r="A112" s="1">
        <v>111</v>
      </c>
      <c r="B112" s="1" t="s">
        <v>2</v>
      </c>
      <c r="C112" s="1">
        <v>30</v>
      </c>
      <c r="D112" s="8">
        <v>30.57</v>
      </c>
      <c r="E112" s="9">
        <f t="shared" ca="1" si="2"/>
        <v>3.4220236686390529E-2</v>
      </c>
      <c r="F112" s="1">
        <v>1000</v>
      </c>
      <c r="G112" s="1">
        <v>5</v>
      </c>
      <c r="H112" s="1">
        <v>0.04</v>
      </c>
      <c r="I112" s="1">
        <v>36</v>
      </c>
      <c r="J112" s="1">
        <v>41</v>
      </c>
      <c r="K112" s="1">
        <v>0.5</v>
      </c>
      <c r="L112" s="8">
        <v>20.5</v>
      </c>
      <c r="M112" s="8">
        <f t="shared" si="3"/>
        <v>567.5</v>
      </c>
      <c r="O112" s="5"/>
      <c r="P112" s="5"/>
    </row>
    <row r="113" spans="1:16" x14ac:dyDescent="0.25">
      <c r="A113" s="1">
        <v>112</v>
      </c>
      <c r="B113" s="1" t="s">
        <v>2</v>
      </c>
      <c r="C113" s="1">
        <v>30</v>
      </c>
      <c r="D113" s="8">
        <v>30.57</v>
      </c>
      <c r="E113" s="9">
        <f t="shared" ca="1" si="2"/>
        <v>3.5174437869822488E-2</v>
      </c>
      <c r="F113" s="1">
        <v>1000</v>
      </c>
      <c r="G113" s="1">
        <v>5</v>
      </c>
      <c r="H113" s="1">
        <v>0.04</v>
      </c>
      <c r="I113" s="1">
        <v>32</v>
      </c>
      <c r="J113" s="1">
        <v>37</v>
      </c>
      <c r="K113" s="1">
        <v>0.5</v>
      </c>
      <c r="L113" s="8">
        <v>18.5</v>
      </c>
      <c r="M113" s="8">
        <f t="shared" si="3"/>
        <v>586</v>
      </c>
      <c r="O113" s="5"/>
      <c r="P113" s="5"/>
    </row>
    <row r="114" spans="1:16" x14ac:dyDescent="0.25">
      <c r="A114" s="1">
        <v>113</v>
      </c>
      <c r="B114" s="1" t="s">
        <v>2</v>
      </c>
      <c r="C114" s="1">
        <v>30</v>
      </c>
      <c r="D114" s="8">
        <v>30.59</v>
      </c>
      <c r="E114" s="9">
        <f t="shared" ca="1" si="2"/>
        <v>3.8133609467455622E-2</v>
      </c>
      <c r="F114" s="1">
        <v>1000</v>
      </c>
      <c r="G114" s="1">
        <v>3</v>
      </c>
      <c r="H114" s="1">
        <v>0.04</v>
      </c>
      <c r="I114" s="1">
        <v>40</v>
      </c>
      <c r="J114" s="1">
        <v>43</v>
      </c>
      <c r="K114" s="1">
        <v>0.5</v>
      </c>
      <c r="L114" s="8">
        <v>21.5</v>
      </c>
      <c r="M114" s="8">
        <f t="shared" si="3"/>
        <v>607.5</v>
      </c>
      <c r="O114" s="5"/>
      <c r="P114" s="5"/>
    </row>
    <row r="115" spans="1:16" x14ac:dyDescent="0.25">
      <c r="A115" s="1">
        <v>114</v>
      </c>
      <c r="B115" s="1" t="s">
        <v>2</v>
      </c>
      <c r="C115" s="1">
        <v>30</v>
      </c>
      <c r="D115" s="8">
        <v>30.59</v>
      </c>
      <c r="E115" s="9">
        <f t="shared" ca="1" si="2"/>
        <v>3.7697751479289936E-2</v>
      </c>
      <c r="F115" s="1">
        <v>1000</v>
      </c>
      <c r="G115" s="1">
        <v>6</v>
      </c>
      <c r="H115" s="1">
        <v>0.04</v>
      </c>
      <c r="I115" s="1">
        <v>35</v>
      </c>
      <c r="J115" s="1">
        <v>41</v>
      </c>
      <c r="K115" s="1">
        <v>0.5</v>
      </c>
      <c r="L115" s="8">
        <v>20.5</v>
      </c>
      <c r="M115" s="8">
        <f t="shared" si="3"/>
        <v>628</v>
      </c>
      <c r="O115" s="5"/>
      <c r="P115" s="5"/>
    </row>
    <row r="116" spans="1:16" x14ac:dyDescent="0.25">
      <c r="A116" s="1">
        <v>115</v>
      </c>
      <c r="B116" s="1" t="s">
        <v>2</v>
      </c>
      <c r="C116" s="1">
        <v>30</v>
      </c>
      <c r="D116" s="8">
        <v>30.61</v>
      </c>
      <c r="E116" s="9">
        <f t="shared" ca="1" si="2"/>
        <v>3.9366863905325442E-2</v>
      </c>
      <c r="F116" s="1">
        <v>1000</v>
      </c>
      <c r="G116" s="1">
        <v>3</v>
      </c>
      <c r="H116" s="1">
        <v>0.04</v>
      </c>
      <c r="I116" s="1">
        <v>44</v>
      </c>
      <c r="J116" s="1">
        <v>47</v>
      </c>
      <c r="K116" s="1">
        <v>0.5</v>
      </c>
      <c r="L116" s="8">
        <v>23.5</v>
      </c>
      <c r="M116" s="8">
        <f t="shared" si="3"/>
        <v>651.5</v>
      </c>
      <c r="O116" s="5"/>
      <c r="P116" s="5"/>
    </row>
    <row r="117" spans="1:16" x14ac:dyDescent="0.25">
      <c r="A117" s="1">
        <v>116</v>
      </c>
      <c r="B117" s="1" t="s">
        <v>2</v>
      </c>
      <c r="C117" s="1">
        <v>30</v>
      </c>
      <c r="D117" s="8">
        <v>30.56</v>
      </c>
      <c r="E117" s="9">
        <f t="shared" ca="1" si="2"/>
        <v>3.7540946745562132E-2</v>
      </c>
      <c r="F117" s="1">
        <v>1000</v>
      </c>
      <c r="G117" s="1">
        <v>8</v>
      </c>
      <c r="H117" s="1">
        <v>0.04</v>
      </c>
      <c r="I117" s="1">
        <v>33</v>
      </c>
      <c r="J117" s="1">
        <v>41</v>
      </c>
      <c r="K117" s="1">
        <v>0.5</v>
      </c>
      <c r="L117" s="8">
        <v>20.5</v>
      </c>
      <c r="M117" s="8">
        <f t="shared" si="3"/>
        <v>672</v>
      </c>
      <c r="O117" s="5"/>
      <c r="P117" s="5"/>
    </row>
    <row r="118" spans="1:16" x14ac:dyDescent="0.25">
      <c r="A118" s="1">
        <v>117</v>
      </c>
      <c r="B118" s="1" t="s">
        <v>2</v>
      </c>
      <c r="C118" s="1">
        <v>30</v>
      </c>
      <c r="D118" s="8">
        <v>30.58</v>
      </c>
      <c r="E118" s="9">
        <f t="shared" ca="1" si="2"/>
        <v>3.7920000000000002E-2</v>
      </c>
      <c r="F118" s="1">
        <v>1000</v>
      </c>
      <c r="G118" s="1">
        <v>4</v>
      </c>
      <c r="H118" s="1">
        <v>0.04</v>
      </c>
      <c r="I118" s="1">
        <v>49</v>
      </c>
      <c r="J118" s="1">
        <v>53</v>
      </c>
      <c r="K118" s="1">
        <v>0.5</v>
      </c>
      <c r="L118" s="8">
        <v>26.5</v>
      </c>
      <c r="M118" s="8">
        <f t="shared" si="3"/>
        <v>698.5</v>
      </c>
      <c r="O118" s="5"/>
      <c r="P118" s="5"/>
    </row>
    <row r="119" spans="1:16" x14ac:dyDescent="0.25">
      <c r="A119" s="1">
        <v>118</v>
      </c>
      <c r="B119" s="1" t="s">
        <v>2</v>
      </c>
      <c r="C119" s="1">
        <v>30</v>
      </c>
      <c r="D119" s="8">
        <v>30.62</v>
      </c>
      <c r="E119" s="9">
        <f t="shared" ca="1" si="2"/>
        <v>3.9504023668639046E-2</v>
      </c>
      <c r="F119" s="1">
        <v>1000</v>
      </c>
      <c r="G119" s="1">
        <v>8</v>
      </c>
      <c r="H119" s="1">
        <v>0.04</v>
      </c>
      <c r="I119" s="1">
        <v>52</v>
      </c>
      <c r="J119" s="1">
        <v>60</v>
      </c>
      <c r="K119" s="1">
        <v>0.5</v>
      </c>
      <c r="L119" s="8">
        <v>30</v>
      </c>
      <c r="M119" s="8">
        <f t="shared" si="3"/>
        <v>728.5</v>
      </c>
      <c r="O119" s="5"/>
      <c r="P119" s="5"/>
    </row>
    <row r="120" spans="1:16" x14ac:dyDescent="0.25">
      <c r="A120" s="1">
        <v>119</v>
      </c>
      <c r="B120" s="1" t="s">
        <v>2</v>
      </c>
      <c r="C120" s="1">
        <v>30</v>
      </c>
      <c r="D120" s="8">
        <v>30.57</v>
      </c>
      <c r="E120" s="9">
        <f t="shared" ca="1" si="2"/>
        <v>4.1593017751479285E-2</v>
      </c>
      <c r="F120" s="1">
        <v>1000</v>
      </c>
      <c r="G120" s="1">
        <v>8</v>
      </c>
      <c r="H120" s="1">
        <v>0.04</v>
      </c>
      <c r="I120" s="1">
        <v>46</v>
      </c>
      <c r="J120" s="1">
        <v>54</v>
      </c>
      <c r="K120" s="1">
        <v>0.5</v>
      </c>
      <c r="L120" s="8">
        <v>27</v>
      </c>
      <c r="M120" s="8">
        <f t="shared" si="3"/>
        <v>755.5</v>
      </c>
      <c r="O120" s="5"/>
      <c r="P120" s="5"/>
    </row>
    <row r="121" spans="1:16" x14ac:dyDescent="0.25">
      <c r="A121" s="1">
        <v>120</v>
      </c>
      <c r="B121" s="1" t="s">
        <v>2</v>
      </c>
      <c r="C121" s="1">
        <v>30</v>
      </c>
      <c r="D121" s="8">
        <v>30.57</v>
      </c>
      <c r="E121" s="9">
        <f t="shared" ca="1" si="2"/>
        <v>4.1186982248520715E-2</v>
      </c>
      <c r="F121" s="1">
        <v>1000</v>
      </c>
      <c r="G121" s="1">
        <v>5</v>
      </c>
      <c r="H121" s="1">
        <v>0.04</v>
      </c>
      <c r="I121" s="1">
        <v>40</v>
      </c>
      <c r="J121" s="1">
        <v>45</v>
      </c>
      <c r="K121" s="1">
        <v>0.5</v>
      </c>
      <c r="L121" s="8">
        <v>22.5</v>
      </c>
      <c r="M121" s="8">
        <f t="shared" si="3"/>
        <v>778</v>
      </c>
      <c r="O121" s="5"/>
      <c r="P121" s="5"/>
    </row>
    <row r="122" spans="1:16" x14ac:dyDescent="0.25">
      <c r="A122" s="1">
        <v>121</v>
      </c>
      <c r="B122" s="1" t="s">
        <v>2</v>
      </c>
      <c r="C122" s="1">
        <v>30</v>
      </c>
      <c r="D122" s="8">
        <v>30.62</v>
      </c>
      <c r="E122" s="9">
        <f t="shared" ca="1" si="2"/>
        <v>4.1185917159763316E-2</v>
      </c>
      <c r="F122" s="1">
        <v>1000</v>
      </c>
      <c r="G122" s="1">
        <v>0</v>
      </c>
      <c r="H122" s="1">
        <v>0.04</v>
      </c>
      <c r="I122" s="1">
        <v>60</v>
      </c>
      <c r="J122" s="1">
        <v>60</v>
      </c>
      <c r="K122" s="1">
        <v>0.5</v>
      </c>
      <c r="L122" s="8">
        <v>30</v>
      </c>
      <c r="M122" s="8">
        <f t="shared" si="3"/>
        <v>808</v>
      </c>
      <c r="O122" s="5"/>
      <c r="P122" s="5"/>
    </row>
    <row r="123" spans="1:16" x14ac:dyDescent="0.25">
      <c r="A123" s="1">
        <v>122</v>
      </c>
      <c r="B123" s="1" t="s">
        <v>2</v>
      </c>
      <c r="C123" s="1">
        <v>30</v>
      </c>
      <c r="D123" s="8">
        <v>30.62</v>
      </c>
      <c r="E123" s="9">
        <f t="shared" ca="1" si="2"/>
        <v>4.2189822485207099E-2</v>
      </c>
      <c r="F123" s="1">
        <v>1000</v>
      </c>
      <c r="G123" s="1">
        <v>1</v>
      </c>
      <c r="H123" s="1">
        <v>0.04</v>
      </c>
      <c r="I123" s="1">
        <v>63</v>
      </c>
      <c r="J123" s="1">
        <v>64</v>
      </c>
      <c r="K123" s="1">
        <v>0.5</v>
      </c>
      <c r="L123" s="8">
        <v>32</v>
      </c>
      <c r="M123" s="8">
        <f t="shared" si="3"/>
        <v>840</v>
      </c>
      <c r="O123" s="5"/>
      <c r="P123" s="5"/>
    </row>
    <row r="124" spans="1:16" x14ac:dyDescent="0.25">
      <c r="A124" s="1">
        <v>123</v>
      </c>
      <c r="B124" s="1" t="s">
        <v>2</v>
      </c>
      <c r="C124" s="1">
        <v>30</v>
      </c>
      <c r="D124" s="8">
        <v>30.62</v>
      </c>
      <c r="E124" s="9">
        <f t="shared" ca="1" si="2"/>
        <v>4.3298698224852071E-2</v>
      </c>
      <c r="F124" s="1">
        <v>1000</v>
      </c>
      <c r="G124" s="1">
        <v>6</v>
      </c>
      <c r="H124" s="1">
        <v>0.04</v>
      </c>
      <c r="I124" s="1">
        <v>56</v>
      </c>
      <c r="J124" s="1">
        <v>62</v>
      </c>
      <c r="K124" s="1">
        <v>0.5</v>
      </c>
      <c r="L124" s="8">
        <v>31</v>
      </c>
      <c r="M124" s="8">
        <f t="shared" si="3"/>
        <v>871</v>
      </c>
      <c r="O124" s="5"/>
      <c r="P124" s="5"/>
    </row>
    <row r="125" spans="1:16" x14ac:dyDescent="0.25">
      <c r="A125" s="1">
        <v>124</v>
      </c>
      <c r="B125" s="1" t="s">
        <v>2</v>
      </c>
      <c r="C125" s="1">
        <v>30</v>
      </c>
      <c r="D125" s="8">
        <v>30.6</v>
      </c>
      <c r="E125" s="9">
        <f t="shared" ca="1" si="2"/>
        <v>4.4712544378698232E-2</v>
      </c>
      <c r="F125" s="1">
        <v>1000</v>
      </c>
      <c r="G125" s="1">
        <v>5</v>
      </c>
      <c r="H125" s="1">
        <v>0.04</v>
      </c>
      <c r="I125" s="1">
        <v>70</v>
      </c>
      <c r="J125" s="1">
        <v>75</v>
      </c>
      <c r="K125" s="1">
        <v>0.5</v>
      </c>
      <c r="L125" s="8">
        <v>37.5</v>
      </c>
      <c r="M125" s="8">
        <f t="shared" si="3"/>
        <v>908.5</v>
      </c>
      <c r="O125" s="5"/>
      <c r="P125" s="5"/>
    </row>
    <row r="126" spans="1:16" x14ac:dyDescent="0.25">
      <c r="A126" s="1">
        <v>125</v>
      </c>
      <c r="B126" s="1" t="s">
        <v>2</v>
      </c>
      <c r="C126" s="1">
        <v>30</v>
      </c>
      <c r="D126" s="8">
        <v>30.63</v>
      </c>
      <c r="E126" s="9">
        <f t="shared" ca="1" si="2"/>
        <v>4.4431360946745567E-2</v>
      </c>
      <c r="F126" s="1">
        <v>1000</v>
      </c>
      <c r="G126" s="1">
        <v>6</v>
      </c>
      <c r="H126" s="1">
        <v>0.04</v>
      </c>
      <c r="I126" s="1">
        <v>62</v>
      </c>
      <c r="J126" s="1">
        <v>68</v>
      </c>
      <c r="K126" s="1">
        <v>0.5</v>
      </c>
      <c r="L126" s="8">
        <v>34</v>
      </c>
      <c r="M126" s="8">
        <f t="shared" si="3"/>
        <v>942.5</v>
      </c>
      <c r="O126" s="5"/>
      <c r="P126" s="5"/>
    </row>
    <row r="127" spans="1:16" x14ac:dyDescent="0.25">
      <c r="A127" s="1">
        <v>126</v>
      </c>
      <c r="B127" s="1" t="s">
        <v>2</v>
      </c>
      <c r="C127" s="1">
        <v>30</v>
      </c>
      <c r="D127" s="8">
        <v>30.62</v>
      </c>
      <c r="E127" s="9">
        <f t="shared" ca="1" si="2"/>
        <v>4.3055147928994085E-2</v>
      </c>
      <c r="F127" s="1">
        <v>1000</v>
      </c>
      <c r="G127" s="1">
        <v>4</v>
      </c>
      <c r="H127" s="1">
        <v>0.04</v>
      </c>
      <c r="I127" s="1">
        <v>76</v>
      </c>
      <c r="J127" s="1">
        <v>80</v>
      </c>
      <c r="K127" s="1">
        <v>0.5</v>
      </c>
      <c r="L127" s="8">
        <v>40</v>
      </c>
      <c r="M127" s="8">
        <f t="shared" si="3"/>
        <v>982.5</v>
      </c>
      <c r="O127" s="5"/>
      <c r="P127" s="5"/>
    </row>
    <row r="128" spans="1:16" x14ac:dyDescent="0.25">
      <c r="A128" s="1">
        <v>127</v>
      </c>
      <c r="B128" s="1" t="s">
        <v>2</v>
      </c>
      <c r="C128" s="1">
        <v>30</v>
      </c>
      <c r="D128" s="8">
        <v>30.64</v>
      </c>
      <c r="E128" s="9">
        <f t="shared" ca="1" si="2"/>
        <v>4.4283905325443781E-2</v>
      </c>
      <c r="F128" s="1">
        <v>1000</v>
      </c>
      <c r="G128" s="1">
        <v>8</v>
      </c>
      <c r="H128" s="1">
        <v>0.04</v>
      </c>
      <c r="I128" s="1">
        <v>58</v>
      </c>
      <c r="J128" s="1">
        <v>66</v>
      </c>
      <c r="K128" s="1">
        <v>0.5</v>
      </c>
      <c r="L128" s="8">
        <v>33</v>
      </c>
      <c r="M128" s="8">
        <f t="shared" si="3"/>
        <v>1015.5</v>
      </c>
      <c r="O128" s="5"/>
      <c r="P128" s="5"/>
    </row>
    <row r="129" spans="1:16" x14ac:dyDescent="0.25">
      <c r="A129" s="1">
        <v>128</v>
      </c>
      <c r="B129" s="1" t="s">
        <v>2</v>
      </c>
      <c r="C129" s="1">
        <v>30</v>
      </c>
      <c r="D129" s="8">
        <v>30.65</v>
      </c>
      <c r="E129" s="9">
        <f t="shared" ca="1" si="2"/>
        <v>4.5717633136094678E-2</v>
      </c>
      <c r="F129" s="1">
        <v>1000</v>
      </c>
      <c r="G129" s="1">
        <v>8</v>
      </c>
      <c r="H129" s="1">
        <v>0.04</v>
      </c>
      <c r="I129" s="1">
        <v>61</v>
      </c>
      <c r="J129" s="1">
        <v>69</v>
      </c>
      <c r="K129" s="1">
        <v>0.5</v>
      </c>
      <c r="L129" s="8">
        <v>34.5</v>
      </c>
      <c r="M129" s="8">
        <f t="shared" si="3"/>
        <v>1050</v>
      </c>
      <c r="O129" s="5"/>
      <c r="P129" s="5"/>
    </row>
    <row r="130" spans="1:16" x14ac:dyDescent="0.25">
      <c r="A130" s="1">
        <v>129</v>
      </c>
      <c r="B130" s="1" t="s">
        <v>2</v>
      </c>
      <c r="C130" s="1">
        <v>30</v>
      </c>
      <c r="D130" s="8">
        <v>30.65</v>
      </c>
      <c r="E130" s="9">
        <f t="shared" ca="1" si="2"/>
        <v>4.7656331360946748E-2</v>
      </c>
      <c r="F130" s="1">
        <v>1000</v>
      </c>
      <c r="G130" s="1">
        <v>6</v>
      </c>
      <c r="H130" s="1">
        <v>0.04</v>
      </c>
      <c r="I130" s="1">
        <v>64</v>
      </c>
      <c r="J130" s="1">
        <v>70</v>
      </c>
      <c r="K130" s="1">
        <v>0.5</v>
      </c>
      <c r="L130" s="8">
        <v>35</v>
      </c>
      <c r="M130" s="8">
        <f t="shared" si="3"/>
        <v>1085</v>
      </c>
      <c r="O130" s="5"/>
      <c r="P130" s="5"/>
    </row>
    <row r="131" spans="1:16" x14ac:dyDescent="0.25">
      <c r="A131" s="1">
        <v>130</v>
      </c>
      <c r="B131" s="1" t="s">
        <v>2</v>
      </c>
      <c r="C131" s="1">
        <v>30</v>
      </c>
      <c r="D131" s="8">
        <v>30.64</v>
      </c>
      <c r="E131" s="9">
        <f t="shared" ref="E131:E194" ca="1" si="4">IF($B131="Form_A1", 0.005 + (0.042 * ($A131/130)^2) + (RANDBETWEEN(-15,15)/10000), 0.005 + (0.042 * (($A131-130)/100)^2) + (RANDBETWEEN(-15,15)/10000))</f>
        <v>4.58E-2</v>
      </c>
      <c r="F131" s="1">
        <v>1000</v>
      </c>
      <c r="G131" s="1">
        <v>6</v>
      </c>
      <c r="H131" s="1">
        <v>0.04</v>
      </c>
      <c r="I131" s="1">
        <v>92</v>
      </c>
      <c r="J131" s="1">
        <v>98</v>
      </c>
      <c r="K131" s="1">
        <v>0.5</v>
      </c>
      <c r="L131" s="8">
        <v>49</v>
      </c>
      <c r="M131" s="8">
        <f t="shared" si="3"/>
        <v>1134</v>
      </c>
      <c r="O131" s="5"/>
      <c r="P131" s="5"/>
    </row>
    <row r="132" spans="1:16" x14ac:dyDescent="0.25">
      <c r="A132" s="1">
        <v>131</v>
      </c>
      <c r="B132" s="1" t="s">
        <v>3</v>
      </c>
      <c r="C132" s="1">
        <v>30</v>
      </c>
      <c r="D132" s="8">
        <v>30.04</v>
      </c>
      <c r="E132" s="9">
        <f t="shared" ca="1" si="4"/>
        <v>6.0042000000000003E-3</v>
      </c>
      <c r="F132" s="1">
        <v>1000</v>
      </c>
      <c r="G132" s="1">
        <v>8</v>
      </c>
      <c r="H132" s="1">
        <v>0.04</v>
      </c>
      <c r="I132" s="1">
        <v>2</v>
      </c>
      <c r="J132" s="1">
        <v>10</v>
      </c>
      <c r="K132" s="1">
        <v>0.5</v>
      </c>
      <c r="L132" s="8">
        <v>5</v>
      </c>
      <c r="M132" s="8">
        <f>L132</f>
        <v>5</v>
      </c>
      <c r="O132" s="5"/>
      <c r="P132" s="5"/>
    </row>
    <row r="133" spans="1:16" x14ac:dyDescent="0.25">
      <c r="A133" s="1">
        <v>132</v>
      </c>
      <c r="B133" s="1" t="s">
        <v>3</v>
      </c>
      <c r="C133" s="1">
        <v>30</v>
      </c>
      <c r="D133" s="8">
        <v>30</v>
      </c>
      <c r="E133" s="9">
        <f t="shared" ca="1" si="4"/>
        <v>5.7168000000000002E-3</v>
      </c>
      <c r="F133" s="1">
        <v>1000</v>
      </c>
      <c r="G133" s="1">
        <v>1</v>
      </c>
      <c r="H133" s="1">
        <v>0.04</v>
      </c>
      <c r="I133" s="1">
        <v>2</v>
      </c>
      <c r="J133" s="1">
        <v>3</v>
      </c>
      <c r="K133" s="1">
        <v>0.5</v>
      </c>
      <c r="L133" s="8">
        <v>1.5</v>
      </c>
      <c r="M133" s="8">
        <f t="shared" ref="M133:M195" si="5">L133+M132</f>
        <v>6.5</v>
      </c>
      <c r="O133" s="5"/>
      <c r="P133" s="5"/>
    </row>
    <row r="134" spans="1:16" x14ac:dyDescent="0.25">
      <c r="A134" s="1">
        <v>133</v>
      </c>
      <c r="B134" s="1" t="s">
        <v>3</v>
      </c>
      <c r="C134" s="1">
        <v>30</v>
      </c>
      <c r="D134" s="8">
        <v>30.04</v>
      </c>
      <c r="E134" s="9">
        <f t="shared" ca="1" si="4"/>
        <v>5.1378000000000005E-3</v>
      </c>
      <c r="F134" s="1">
        <v>1000</v>
      </c>
      <c r="G134" s="1">
        <v>10</v>
      </c>
      <c r="H134" s="1">
        <v>0.04</v>
      </c>
      <c r="I134" s="1">
        <v>0</v>
      </c>
      <c r="J134" s="1">
        <v>10</v>
      </c>
      <c r="K134" s="1">
        <v>0.5</v>
      </c>
      <c r="L134" s="8">
        <v>5</v>
      </c>
      <c r="M134" s="8">
        <f t="shared" si="5"/>
        <v>11.5</v>
      </c>
      <c r="O134" s="5"/>
      <c r="P134" s="5"/>
    </row>
    <row r="135" spans="1:16" x14ac:dyDescent="0.25">
      <c r="A135" s="1">
        <v>134</v>
      </c>
      <c r="B135" s="1" t="s">
        <v>3</v>
      </c>
      <c r="C135" s="1">
        <v>30</v>
      </c>
      <c r="D135" s="8">
        <v>30.05</v>
      </c>
      <c r="E135" s="9">
        <f t="shared" ca="1" si="4"/>
        <v>5.0672E-3</v>
      </c>
      <c r="F135" s="1">
        <v>1000</v>
      </c>
      <c r="G135" s="1">
        <v>2</v>
      </c>
      <c r="H135" s="1">
        <v>0.04</v>
      </c>
      <c r="I135" s="1">
        <v>0</v>
      </c>
      <c r="J135" s="1">
        <v>2</v>
      </c>
      <c r="K135" s="1">
        <v>0.5</v>
      </c>
      <c r="L135" s="8">
        <v>1</v>
      </c>
      <c r="M135" s="8">
        <f t="shared" si="5"/>
        <v>12.5</v>
      </c>
      <c r="O135" s="5"/>
      <c r="P135" s="5"/>
    </row>
    <row r="136" spans="1:16" x14ac:dyDescent="0.25">
      <c r="A136" s="1">
        <v>135</v>
      </c>
      <c r="B136" s="1" t="s">
        <v>3</v>
      </c>
      <c r="C136" s="1">
        <v>30</v>
      </c>
      <c r="D136" s="8">
        <v>30.04</v>
      </c>
      <c r="E136" s="9">
        <f t="shared" ca="1" si="4"/>
        <v>4.9050000000000005E-3</v>
      </c>
      <c r="F136" s="1">
        <v>1000</v>
      </c>
      <c r="G136" s="1">
        <v>4</v>
      </c>
      <c r="H136" s="1">
        <v>0.04</v>
      </c>
      <c r="I136" s="1">
        <v>0</v>
      </c>
      <c r="J136" s="1">
        <v>4</v>
      </c>
      <c r="K136" s="1">
        <v>0.5</v>
      </c>
      <c r="L136" s="8">
        <v>2</v>
      </c>
      <c r="M136" s="8">
        <f t="shared" si="5"/>
        <v>14.5</v>
      </c>
      <c r="O136" s="5"/>
      <c r="P136" s="5"/>
    </row>
    <row r="137" spans="1:16" x14ac:dyDescent="0.25">
      <c r="A137" s="1">
        <v>136</v>
      </c>
      <c r="B137" s="1" t="s">
        <v>3</v>
      </c>
      <c r="C137" s="1">
        <v>30</v>
      </c>
      <c r="D137" s="8">
        <v>30.05</v>
      </c>
      <c r="E137" s="9">
        <f t="shared" ca="1" si="4"/>
        <v>5.4511999999999998E-3</v>
      </c>
      <c r="F137" s="1">
        <v>1000</v>
      </c>
      <c r="G137" s="1">
        <v>9</v>
      </c>
      <c r="H137" s="1">
        <v>0.04</v>
      </c>
      <c r="I137" s="1">
        <v>2</v>
      </c>
      <c r="J137" s="1">
        <v>11</v>
      </c>
      <c r="K137" s="1">
        <v>0.5</v>
      </c>
      <c r="L137" s="8">
        <v>5.5</v>
      </c>
      <c r="M137" s="8">
        <f t="shared" si="5"/>
        <v>20</v>
      </c>
      <c r="O137" s="5"/>
      <c r="P137" s="5"/>
    </row>
    <row r="138" spans="1:16" x14ac:dyDescent="0.25">
      <c r="A138" s="1">
        <v>137</v>
      </c>
      <c r="B138" s="1" t="s">
        <v>3</v>
      </c>
      <c r="C138" s="1">
        <v>30</v>
      </c>
      <c r="D138" s="8">
        <v>30.05</v>
      </c>
      <c r="E138" s="9">
        <f t="shared" ca="1" si="4"/>
        <v>5.7058000000000005E-3</v>
      </c>
      <c r="F138" s="1">
        <v>1000</v>
      </c>
      <c r="G138" s="1">
        <v>5</v>
      </c>
      <c r="H138" s="1">
        <v>0.04</v>
      </c>
      <c r="I138" s="1">
        <v>1</v>
      </c>
      <c r="J138" s="1">
        <v>6</v>
      </c>
      <c r="K138" s="1">
        <v>0.5</v>
      </c>
      <c r="L138" s="8">
        <v>3</v>
      </c>
      <c r="M138" s="8">
        <f t="shared" si="5"/>
        <v>23</v>
      </c>
      <c r="O138" s="5"/>
      <c r="P138" s="5"/>
    </row>
    <row r="139" spans="1:16" x14ac:dyDescent="0.25">
      <c r="A139" s="1">
        <v>138</v>
      </c>
      <c r="B139" s="1" t="s">
        <v>3</v>
      </c>
      <c r="C139" s="1">
        <v>30</v>
      </c>
      <c r="D139" s="8">
        <v>30.06</v>
      </c>
      <c r="E139" s="9">
        <f t="shared" ca="1" si="4"/>
        <v>5.8688000000000004E-3</v>
      </c>
      <c r="F139" s="1">
        <v>1000</v>
      </c>
      <c r="G139" s="1">
        <v>4</v>
      </c>
      <c r="H139" s="1">
        <v>0.04</v>
      </c>
      <c r="I139" s="1">
        <v>1</v>
      </c>
      <c r="J139" s="1">
        <v>5</v>
      </c>
      <c r="K139" s="1">
        <v>0.5</v>
      </c>
      <c r="L139" s="8">
        <v>2.5</v>
      </c>
      <c r="M139" s="8">
        <f t="shared" si="5"/>
        <v>25.5</v>
      </c>
      <c r="O139" s="5"/>
      <c r="P139" s="5"/>
    </row>
    <row r="140" spans="1:16" x14ac:dyDescent="0.25">
      <c r="A140" s="1">
        <v>139</v>
      </c>
      <c r="B140" s="1" t="s">
        <v>3</v>
      </c>
      <c r="C140" s="1">
        <v>30</v>
      </c>
      <c r="D140" s="8">
        <v>30.06</v>
      </c>
      <c r="E140" s="9">
        <f t="shared" ca="1" si="4"/>
        <v>6.3401999999999998E-3</v>
      </c>
      <c r="F140" s="1">
        <v>1000</v>
      </c>
      <c r="G140" s="1">
        <v>10</v>
      </c>
      <c r="H140" s="1">
        <v>0.04</v>
      </c>
      <c r="I140" s="1">
        <v>1</v>
      </c>
      <c r="J140" s="1">
        <v>11</v>
      </c>
      <c r="K140" s="1">
        <v>0.5</v>
      </c>
      <c r="L140" s="8">
        <v>5.5</v>
      </c>
      <c r="M140" s="8">
        <f t="shared" si="5"/>
        <v>31</v>
      </c>
      <c r="O140" s="5"/>
      <c r="P140" s="5"/>
    </row>
    <row r="141" spans="1:16" x14ac:dyDescent="0.25">
      <c r="A141" s="1">
        <v>140</v>
      </c>
      <c r="B141" s="1" t="s">
        <v>3</v>
      </c>
      <c r="C141" s="1">
        <v>30</v>
      </c>
      <c r="D141" s="8">
        <v>30.05</v>
      </c>
      <c r="E141" s="9">
        <f t="shared" ca="1" si="4"/>
        <v>5.5200000000000006E-3</v>
      </c>
      <c r="F141" s="1">
        <v>1000</v>
      </c>
      <c r="G141" s="1">
        <v>9</v>
      </c>
      <c r="H141" s="1">
        <v>0.04</v>
      </c>
      <c r="I141" s="1">
        <v>2</v>
      </c>
      <c r="J141" s="1">
        <v>11</v>
      </c>
      <c r="K141" s="1">
        <v>0.5</v>
      </c>
      <c r="L141" s="8">
        <v>5.5</v>
      </c>
      <c r="M141" s="8">
        <f t="shared" si="5"/>
        <v>36.5</v>
      </c>
      <c r="O141" s="5"/>
      <c r="P141" s="5"/>
    </row>
    <row r="142" spans="1:16" x14ac:dyDescent="0.25">
      <c r="A142" s="1">
        <v>141</v>
      </c>
      <c r="B142" s="1" t="s">
        <v>3</v>
      </c>
      <c r="C142" s="1">
        <v>30</v>
      </c>
      <c r="D142" s="8">
        <v>30.09</v>
      </c>
      <c r="E142" s="9">
        <f t="shared" ca="1" si="4"/>
        <v>5.9082000000000006E-3</v>
      </c>
      <c r="F142" s="1">
        <v>1000</v>
      </c>
      <c r="G142" s="1">
        <v>8</v>
      </c>
      <c r="H142" s="1">
        <v>0.04</v>
      </c>
      <c r="I142" s="1">
        <v>1</v>
      </c>
      <c r="J142" s="1">
        <v>9</v>
      </c>
      <c r="K142" s="1">
        <v>0.5</v>
      </c>
      <c r="L142" s="8">
        <v>4.5</v>
      </c>
      <c r="M142" s="8">
        <f t="shared" si="5"/>
        <v>41</v>
      </c>
      <c r="O142" s="5"/>
      <c r="P142" s="5"/>
    </row>
    <row r="143" spans="1:16" x14ac:dyDescent="0.25">
      <c r="A143" s="1">
        <v>142</v>
      </c>
      <c r="B143" s="1" t="s">
        <v>3</v>
      </c>
      <c r="C143" s="1">
        <v>30</v>
      </c>
      <c r="D143" s="8">
        <v>30.05</v>
      </c>
      <c r="E143" s="9">
        <f t="shared" ca="1" si="4"/>
        <v>6.0048000000000002E-3</v>
      </c>
      <c r="F143" s="1">
        <v>1000</v>
      </c>
      <c r="G143" s="1">
        <v>10</v>
      </c>
      <c r="H143" s="1">
        <v>0.04</v>
      </c>
      <c r="I143" s="1">
        <v>2</v>
      </c>
      <c r="J143" s="1">
        <v>12</v>
      </c>
      <c r="K143" s="1">
        <v>0.5</v>
      </c>
      <c r="L143" s="8">
        <v>6</v>
      </c>
      <c r="M143" s="8">
        <f t="shared" si="5"/>
        <v>47</v>
      </c>
      <c r="O143" s="5"/>
      <c r="P143" s="5"/>
    </row>
    <row r="144" spans="1:16" x14ac:dyDescent="0.25">
      <c r="A144" s="1">
        <v>143</v>
      </c>
      <c r="B144" s="1" t="s">
        <v>3</v>
      </c>
      <c r="C144" s="1">
        <v>30</v>
      </c>
      <c r="D144" s="8">
        <v>30.04</v>
      </c>
      <c r="E144" s="9">
        <f t="shared" ca="1" si="4"/>
        <v>6.2097999999999997E-3</v>
      </c>
      <c r="F144" s="1">
        <v>1000</v>
      </c>
      <c r="G144" s="1">
        <v>1</v>
      </c>
      <c r="H144" s="1">
        <v>0.04</v>
      </c>
      <c r="I144" s="1">
        <v>1</v>
      </c>
      <c r="J144" s="1">
        <v>2</v>
      </c>
      <c r="K144" s="1">
        <v>0.5</v>
      </c>
      <c r="L144" s="8">
        <v>1</v>
      </c>
      <c r="M144" s="8">
        <f t="shared" si="5"/>
        <v>48</v>
      </c>
      <c r="O144" s="5"/>
      <c r="P144" s="5"/>
    </row>
    <row r="145" spans="1:16" x14ac:dyDescent="0.25">
      <c r="A145" s="1">
        <v>144</v>
      </c>
      <c r="B145" s="1" t="s">
        <v>3</v>
      </c>
      <c r="C145" s="1">
        <v>30</v>
      </c>
      <c r="D145" s="8">
        <v>30.1</v>
      </c>
      <c r="E145" s="9">
        <f t="shared" ca="1" si="4"/>
        <v>5.8232000000000006E-3</v>
      </c>
      <c r="F145" s="1">
        <v>1000</v>
      </c>
      <c r="G145" s="1">
        <v>5</v>
      </c>
      <c r="H145" s="1">
        <v>0.04</v>
      </c>
      <c r="I145" s="1">
        <v>2</v>
      </c>
      <c r="J145" s="1">
        <v>7</v>
      </c>
      <c r="K145" s="1">
        <v>0.5</v>
      </c>
      <c r="L145" s="8">
        <v>3.5</v>
      </c>
      <c r="M145" s="8">
        <f t="shared" si="5"/>
        <v>51.5</v>
      </c>
      <c r="O145" s="5"/>
      <c r="P145" s="5"/>
    </row>
    <row r="146" spans="1:16" x14ac:dyDescent="0.25">
      <c r="A146" s="1">
        <v>145</v>
      </c>
      <c r="B146" s="1" t="s">
        <v>3</v>
      </c>
      <c r="C146" s="1">
        <v>30</v>
      </c>
      <c r="D146" s="8">
        <v>30.07</v>
      </c>
      <c r="E146" s="9">
        <f t="shared" ca="1" si="4"/>
        <v>6.6449999999999999E-3</v>
      </c>
      <c r="F146" s="1">
        <v>1000</v>
      </c>
      <c r="G146" s="1">
        <v>3</v>
      </c>
      <c r="H146" s="1">
        <v>0.04</v>
      </c>
      <c r="I146" s="1">
        <v>1</v>
      </c>
      <c r="J146" s="1">
        <v>4</v>
      </c>
      <c r="K146" s="1">
        <v>0.5</v>
      </c>
      <c r="L146" s="8">
        <v>2</v>
      </c>
      <c r="M146" s="8">
        <f t="shared" si="5"/>
        <v>53.5</v>
      </c>
      <c r="O146" s="5"/>
      <c r="P146" s="5"/>
    </row>
    <row r="147" spans="1:16" x14ac:dyDescent="0.25">
      <c r="A147" s="1">
        <v>146</v>
      </c>
      <c r="B147" s="1" t="s">
        <v>3</v>
      </c>
      <c r="C147" s="1">
        <v>30</v>
      </c>
      <c r="D147" s="8">
        <v>30.08</v>
      </c>
      <c r="E147" s="9">
        <f t="shared" ca="1" si="4"/>
        <v>6.1752000000000005E-3</v>
      </c>
      <c r="F147" s="1">
        <v>1000</v>
      </c>
      <c r="G147" s="1">
        <v>4</v>
      </c>
      <c r="H147" s="1">
        <v>0.04</v>
      </c>
      <c r="I147" s="1">
        <v>2</v>
      </c>
      <c r="J147" s="1">
        <v>6</v>
      </c>
      <c r="K147" s="1">
        <v>0.5</v>
      </c>
      <c r="L147" s="8">
        <v>3</v>
      </c>
      <c r="M147" s="8">
        <f t="shared" si="5"/>
        <v>56.5</v>
      </c>
      <c r="O147" s="5"/>
      <c r="P147" s="5"/>
    </row>
    <row r="148" spans="1:16" x14ac:dyDescent="0.25">
      <c r="A148" s="1">
        <v>147</v>
      </c>
      <c r="B148" s="1" t="s">
        <v>3</v>
      </c>
      <c r="C148" s="1">
        <v>30</v>
      </c>
      <c r="D148" s="8">
        <v>30.1</v>
      </c>
      <c r="E148" s="9">
        <f t="shared" ca="1" si="4"/>
        <v>7.7137999999999998E-3</v>
      </c>
      <c r="F148" s="1">
        <v>1000</v>
      </c>
      <c r="G148" s="1">
        <v>5</v>
      </c>
      <c r="H148" s="1">
        <v>0.04</v>
      </c>
      <c r="I148" s="1">
        <v>2</v>
      </c>
      <c r="J148" s="1">
        <v>7</v>
      </c>
      <c r="K148" s="1">
        <v>0.5</v>
      </c>
      <c r="L148" s="8">
        <v>3.5</v>
      </c>
      <c r="M148" s="8">
        <f t="shared" si="5"/>
        <v>60</v>
      </c>
      <c r="O148" s="5"/>
      <c r="P148" s="5"/>
    </row>
    <row r="149" spans="1:16" x14ac:dyDescent="0.25">
      <c r="A149" s="1">
        <v>148</v>
      </c>
      <c r="B149" s="1" t="s">
        <v>3</v>
      </c>
      <c r="C149" s="1">
        <v>30</v>
      </c>
      <c r="D149" s="8">
        <v>30.06</v>
      </c>
      <c r="E149" s="9">
        <f t="shared" ca="1" si="4"/>
        <v>6.4608E-3</v>
      </c>
      <c r="F149" s="1">
        <v>1000</v>
      </c>
      <c r="G149" s="1">
        <v>2</v>
      </c>
      <c r="H149" s="1">
        <v>0.04</v>
      </c>
      <c r="I149" s="1">
        <v>2</v>
      </c>
      <c r="J149" s="1">
        <v>4</v>
      </c>
      <c r="K149" s="1">
        <v>0.5</v>
      </c>
      <c r="L149" s="8">
        <v>2</v>
      </c>
      <c r="M149" s="8">
        <f t="shared" si="5"/>
        <v>62</v>
      </c>
      <c r="O149" s="5"/>
      <c r="P149" s="5"/>
    </row>
    <row r="150" spans="1:16" x14ac:dyDescent="0.25">
      <c r="A150" s="1">
        <v>149</v>
      </c>
      <c r="B150" s="1" t="s">
        <v>3</v>
      </c>
      <c r="C150" s="1">
        <v>30</v>
      </c>
      <c r="D150" s="8">
        <v>30.11</v>
      </c>
      <c r="E150" s="9">
        <f t="shared" ca="1" si="4"/>
        <v>5.6162E-3</v>
      </c>
      <c r="F150" s="1">
        <v>1000</v>
      </c>
      <c r="G150" s="1">
        <v>4</v>
      </c>
      <c r="H150" s="1">
        <v>0.04</v>
      </c>
      <c r="I150" s="1">
        <v>0</v>
      </c>
      <c r="J150" s="1">
        <v>4</v>
      </c>
      <c r="K150" s="1">
        <v>0.5</v>
      </c>
      <c r="L150" s="8">
        <v>2</v>
      </c>
      <c r="M150" s="8">
        <f t="shared" si="5"/>
        <v>64</v>
      </c>
      <c r="O150" s="5"/>
      <c r="P150" s="5"/>
    </row>
    <row r="151" spans="1:16" x14ac:dyDescent="0.25">
      <c r="A151" s="1">
        <v>150</v>
      </c>
      <c r="B151" s="1" t="s">
        <v>3</v>
      </c>
      <c r="C151" s="1">
        <v>30</v>
      </c>
      <c r="D151" s="8">
        <v>30.13</v>
      </c>
      <c r="E151" s="9">
        <f t="shared" ca="1" si="4"/>
        <v>5.6800000000000002E-3</v>
      </c>
      <c r="F151" s="1">
        <v>1000</v>
      </c>
      <c r="G151" s="1">
        <v>3</v>
      </c>
      <c r="H151" s="1">
        <v>0.04</v>
      </c>
      <c r="I151" s="1">
        <v>1</v>
      </c>
      <c r="J151" s="1">
        <v>4</v>
      </c>
      <c r="K151" s="1">
        <v>0.5</v>
      </c>
      <c r="L151" s="8">
        <v>2</v>
      </c>
      <c r="M151" s="8">
        <f t="shared" si="5"/>
        <v>66</v>
      </c>
      <c r="O151" s="5"/>
      <c r="P151" s="5"/>
    </row>
    <row r="152" spans="1:16" x14ac:dyDescent="0.25">
      <c r="A152" s="1">
        <v>151</v>
      </c>
      <c r="B152" s="1" t="s">
        <v>3</v>
      </c>
      <c r="C152" s="1">
        <v>30</v>
      </c>
      <c r="D152" s="8">
        <v>30.12</v>
      </c>
      <c r="E152" s="9">
        <f t="shared" ca="1" si="4"/>
        <v>7.8522000000000002E-3</v>
      </c>
      <c r="F152" s="1">
        <v>1000</v>
      </c>
      <c r="G152" s="1">
        <v>4</v>
      </c>
      <c r="H152" s="1">
        <v>0.04</v>
      </c>
      <c r="I152" s="1">
        <v>1</v>
      </c>
      <c r="J152" s="1">
        <v>5</v>
      </c>
      <c r="K152" s="1">
        <v>0.5</v>
      </c>
      <c r="L152" s="8">
        <v>2.5</v>
      </c>
      <c r="M152" s="8">
        <f t="shared" si="5"/>
        <v>68.5</v>
      </c>
      <c r="O152" s="5"/>
      <c r="P152" s="5"/>
    </row>
    <row r="153" spans="1:16" x14ac:dyDescent="0.25">
      <c r="A153" s="1">
        <v>152</v>
      </c>
      <c r="B153" s="1" t="s">
        <v>3</v>
      </c>
      <c r="C153" s="1">
        <v>30</v>
      </c>
      <c r="D153" s="8">
        <v>30.09</v>
      </c>
      <c r="E153" s="9">
        <f t="shared" ca="1" si="4"/>
        <v>7.7328000000000006E-3</v>
      </c>
      <c r="F153" s="1">
        <v>1000</v>
      </c>
      <c r="G153" s="1">
        <v>10</v>
      </c>
      <c r="H153" s="1">
        <v>0.04</v>
      </c>
      <c r="I153" s="1">
        <v>2</v>
      </c>
      <c r="J153" s="1">
        <v>12</v>
      </c>
      <c r="K153" s="1">
        <v>0.5</v>
      </c>
      <c r="L153" s="8">
        <v>6</v>
      </c>
      <c r="M153" s="8">
        <f t="shared" si="5"/>
        <v>74.5</v>
      </c>
      <c r="O153" s="5"/>
      <c r="P153" s="5"/>
    </row>
    <row r="154" spans="1:16" x14ac:dyDescent="0.25">
      <c r="A154" s="1">
        <v>153</v>
      </c>
      <c r="B154" s="1" t="s">
        <v>3</v>
      </c>
      <c r="C154" s="1">
        <v>30</v>
      </c>
      <c r="D154" s="8">
        <v>30.09</v>
      </c>
      <c r="E154" s="9">
        <f t="shared" ca="1" si="4"/>
        <v>7.1218000000000002E-3</v>
      </c>
      <c r="F154" s="1">
        <v>1000</v>
      </c>
      <c r="G154" s="1">
        <v>3</v>
      </c>
      <c r="H154" s="1">
        <v>0.04</v>
      </c>
      <c r="I154" s="1">
        <v>2</v>
      </c>
      <c r="J154" s="1">
        <v>5</v>
      </c>
      <c r="K154" s="1">
        <v>0.5</v>
      </c>
      <c r="L154" s="8">
        <v>2.5</v>
      </c>
      <c r="M154" s="8">
        <f t="shared" si="5"/>
        <v>77</v>
      </c>
      <c r="O154" s="5"/>
      <c r="P154" s="5"/>
    </row>
    <row r="155" spans="1:16" x14ac:dyDescent="0.25">
      <c r="A155" s="1">
        <v>154</v>
      </c>
      <c r="B155" s="1" t="s">
        <v>3</v>
      </c>
      <c r="C155" s="1">
        <v>30</v>
      </c>
      <c r="D155" s="8">
        <v>30.15</v>
      </c>
      <c r="E155" s="9">
        <f t="shared" ca="1" si="4"/>
        <v>7.7192000000000007E-3</v>
      </c>
      <c r="F155" s="1">
        <v>1000</v>
      </c>
      <c r="G155" s="1">
        <v>6</v>
      </c>
      <c r="H155" s="1">
        <v>0.04</v>
      </c>
      <c r="I155" s="1">
        <v>1</v>
      </c>
      <c r="J155" s="1">
        <v>7</v>
      </c>
      <c r="K155" s="1">
        <v>0.5</v>
      </c>
      <c r="L155" s="8">
        <v>3.5</v>
      </c>
      <c r="M155" s="8">
        <f t="shared" si="5"/>
        <v>80.5</v>
      </c>
      <c r="O155" s="5"/>
      <c r="P155" s="5"/>
    </row>
    <row r="156" spans="1:16" x14ac:dyDescent="0.25">
      <c r="A156" s="1">
        <v>155</v>
      </c>
      <c r="B156" s="1" t="s">
        <v>3</v>
      </c>
      <c r="C156" s="1">
        <v>30</v>
      </c>
      <c r="D156" s="8">
        <v>30.14</v>
      </c>
      <c r="E156" s="9">
        <f t="shared" ca="1" si="4"/>
        <v>7.9249999999999998E-3</v>
      </c>
      <c r="F156" s="1">
        <v>1000</v>
      </c>
      <c r="G156" s="1">
        <v>9</v>
      </c>
      <c r="H156" s="1">
        <v>0.04</v>
      </c>
      <c r="I156" s="1">
        <v>0</v>
      </c>
      <c r="J156" s="1">
        <v>9</v>
      </c>
      <c r="K156" s="1">
        <v>0.5</v>
      </c>
      <c r="L156" s="8">
        <v>4.5</v>
      </c>
      <c r="M156" s="8">
        <f t="shared" si="5"/>
        <v>85</v>
      </c>
      <c r="O156" s="5"/>
      <c r="P156" s="5"/>
    </row>
    <row r="157" spans="1:16" x14ac:dyDescent="0.25">
      <c r="A157" s="1">
        <v>156</v>
      </c>
      <c r="B157" s="1" t="s">
        <v>3</v>
      </c>
      <c r="C157" s="1">
        <v>30</v>
      </c>
      <c r="D157" s="8">
        <v>30.14</v>
      </c>
      <c r="E157" s="9">
        <f t="shared" ca="1" si="4"/>
        <v>8.5392000000000003E-3</v>
      </c>
      <c r="F157" s="1">
        <v>1000</v>
      </c>
      <c r="G157" s="1">
        <v>9</v>
      </c>
      <c r="H157" s="1">
        <v>0.04</v>
      </c>
      <c r="I157" s="1">
        <v>2</v>
      </c>
      <c r="J157" s="1">
        <v>11</v>
      </c>
      <c r="K157" s="1">
        <v>0.5</v>
      </c>
      <c r="L157" s="8">
        <v>5.5</v>
      </c>
      <c r="M157" s="8">
        <f t="shared" si="5"/>
        <v>90.5</v>
      </c>
      <c r="O157" s="5"/>
      <c r="P157" s="5"/>
    </row>
    <row r="158" spans="1:16" x14ac:dyDescent="0.25">
      <c r="A158" s="1">
        <v>157</v>
      </c>
      <c r="B158" s="1" t="s">
        <v>3</v>
      </c>
      <c r="C158" s="1">
        <v>30</v>
      </c>
      <c r="D158" s="8">
        <v>30.14</v>
      </c>
      <c r="E158" s="9">
        <f t="shared" ca="1" si="4"/>
        <v>8.7618000000000001E-3</v>
      </c>
      <c r="F158" s="1">
        <v>1000</v>
      </c>
      <c r="G158" s="1">
        <v>2</v>
      </c>
      <c r="H158" s="1">
        <v>0.04</v>
      </c>
      <c r="I158" s="1">
        <v>2</v>
      </c>
      <c r="J158" s="1">
        <v>4</v>
      </c>
      <c r="K158" s="1">
        <v>0.5</v>
      </c>
      <c r="L158" s="8">
        <v>2</v>
      </c>
      <c r="M158" s="8">
        <f t="shared" si="5"/>
        <v>92.5</v>
      </c>
      <c r="O158" s="5"/>
      <c r="P158" s="5"/>
    </row>
    <row r="159" spans="1:16" x14ac:dyDescent="0.25">
      <c r="A159" s="1">
        <v>158</v>
      </c>
      <c r="B159" s="1" t="s">
        <v>3</v>
      </c>
      <c r="C159" s="1">
        <v>30</v>
      </c>
      <c r="D159" s="8">
        <v>30.17</v>
      </c>
      <c r="E159" s="9">
        <f t="shared" ca="1" si="4"/>
        <v>8.3928000000000006E-3</v>
      </c>
      <c r="F159" s="1">
        <v>1000</v>
      </c>
      <c r="G159" s="1">
        <v>3</v>
      </c>
      <c r="H159" s="1">
        <v>0.04</v>
      </c>
      <c r="I159" s="1">
        <v>1</v>
      </c>
      <c r="J159" s="1">
        <v>4</v>
      </c>
      <c r="K159" s="1">
        <v>0.5</v>
      </c>
      <c r="L159" s="8">
        <v>2</v>
      </c>
      <c r="M159" s="8">
        <f t="shared" si="5"/>
        <v>94.5</v>
      </c>
      <c r="O159" s="5"/>
      <c r="P159" s="5"/>
    </row>
    <row r="160" spans="1:16" x14ac:dyDescent="0.25">
      <c r="A160" s="1">
        <v>159</v>
      </c>
      <c r="B160" s="1" t="s">
        <v>3</v>
      </c>
      <c r="C160" s="1">
        <v>30</v>
      </c>
      <c r="D160" s="8">
        <v>30.14</v>
      </c>
      <c r="E160" s="9">
        <f t="shared" ca="1" si="4"/>
        <v>7.5322000000000002E-3</v>
      </c>
      <c r="F160" s="1">
        <v>1000</v>
      </c>
      <c r="G160" s="1">
        <v>8</v>
      </c>
      <c r="H160" s="1">
        <v>0.04</v>
      </c>
      <c r="I160" s="1">
        <v>1</v>
      </c>
      <c r="J160" s="1">
        <v>9</v>
      </c>
      <c r="K160" s="1">
        <v>0.5</v>
      </c>
      <c r="L160" s="8">
        <v>4.5</v>
      </c>
      <c r="M160" s="8">
        <f t="shared" si="5"/>
        <v>99</v>
      </c>
      <c r="O160" s="5"/>
      <c r="P160" s="5"/>
    </row>
    <row r="161" spans="1:16" x14ac:dyDescent="0.25">
      <c r="A161" s="1">
        <v>160</v>
      </c>
      <c r="B161" s="1" t="s">
        <v>3</v>
      </c>
      <c r="C161" s="1">
        <v>30</v>
      </c>
      <c r="D161" s="8">
        <v>30.16</v>
      </c>
      <c r="E161" s="9">
        <f t="shared" ca="1" si="4"/>
        <v>8.7799999999999996E-3</v>
      </c>
      <c r="F161" s="1">
        <v>1000</v>
      </c>
      <c r="G161" s="1">
        <v>2</v>
      </c>
      <c r="H161" s="1">
        <v>0.04</v>
      </c>
      <c r="I161" s="1">
        <v>2</v>
      </c>
      <c r="J161" s="1">
        <v>4</v>
      </c>
      <c r="K161" s="1">
        <v>0.5</v>
      </c>
      <c r="L161" s="8">
        <v>2</v>
      </c>
      <c r="M161" s="8">
        <f t="shared" si="5"/>
        <v>101</v>
      </c>
      <c r="O161" s="5"/>
      <c r="P161" s="5"/>
    </row>
    <row r="162" spans="1:16" x14ac:dyDescent="0.25">
      <c r="A162" s="1">
        <v>161</v>
      </c>
      <c r="B162" s="1" t="s">
        <v>3</v>
      </c>
      <c r="C162" s="1">
        <v>30</v>
      </c>
      <c r="D162" s="8">
        <v>30.15</v>
      </c>
      <c r="E162" s="9">
        <f t="shared" ca="1" si="4"/>
        <v>9.2362000000000017E-3</v>
      </c>
      <c r="F162" s="1">
        <v>1000</v>
      </c>
      <c r="G162" s="1">
        <v>9</v>
      </c>
      <c r="H162" s="1">
        <v>0.04</v>
      </c>
      <c r="I162" s="1">
        <v>0</v>
      </c>
      <c r="J162" s="1">
        <v>9</v>
      </c>
      <c r="K162" s="1">
        <v>0.5</v>
      </c>
      <c r="L162" s="8">
        <v>4.5</v>
      </c>
      <c r="M162" s="8">
        <f t="shared" si="5"/>
        <v>105.5</v>
      </c>
      <c r="O162" s="5"/>
      <c r="P162" s="5"/>
    </row>
    <row r="163" spans="1:16" x14ac:dyDescent="0.25">
      <c r="A163" s="1">
        <v>162</v>
      </c>
      <c r="B163" s="1" t="s">
        <v>3</v>
      </c>
      <c r="C163" s="1">
        <v>30</v>
      </c>
      <c r="D163" s="8">
        <v>30.17</v>
      </c>
      <c r="E163" s="9">
        <f t="shared" ca="1" si="4"/>
        <v>7.8008000000000018E-3</v>
      </c>
      <c r="F163" s="1">
        <v>1000</v>
      </c>
      <c r="G163" s="1">
        <v>10</v>
      </c>
      <c r="H163" s="1">
        <v>0.04</v>
      </c>
      <c r="I163" s="1">
        <v>1</v>
      </c>
      <c r="J163" s="1">
        <v>11</v>
      </c>
      <c r="K163" s="1">
        <v>0.5</v>
      </c>
      <c r="L163" s="8">
        <v>5.5</v>
      </c>
      <c r="M163" s="8">
        <f t="shared" si="5"/>
        <v>111</v>
      </c>
      <c r="O163" s="5"/>
      <c r="P163" s="5"/>
    </row>
    <row r="164" spans="1:16" x14ac:dyDescent="0.25">
      <c r="A164" s="1">
        <v>163</v>
      </c>
      <c r="B164" s="1" t="s">
        <v>3</v>
      </c>
      <c r="C164" s="1">
        <v>30</v>
      </c>
      <c r="D164" s="8">
        <v>30.14</v>
      </c>
      <c r="E164" s="9">
        <f t="shared" ca="1" si="4"/>
        <v>8.8738000000000011E-3</v>
      </c>
      <c r="F164" s="1">
        <v>1000</v>
      </c>
      <c r="G164" s="1">
        <v>10</v>
      </c>
      <c r="H164" s="1">
        <v>0.04</v>
      </c>
      <c r="I164" s="1">
        <v>2</v>
      </c>
      <c r="J164" s="1">
        <v>12</v>
      </c>
      <c r="K164" s="1">
        <v>0.5</v>
      </c>
      <c r="L164" s="8">
        <v>6</v>
      </c>
      <c r="M164" s="8">
        <f t="shared" si="5"/>
        <v>117</v>
      </c>
      <c r="O164" s="5"/>
      <c r="P164" s="5"/>
    </row>
    <row r="165" spans="1:16" x14ac:dyDescent="0.25">
      <c r="A165" s="1">
        <v>164</v>
      </c>
      <c r="B165" s="1" t="s">
        <v>3</v>
      </c>
      <c r="C165" s="1">
        <v>30</v>
      </c>
      <c r="D165" s="8">
        <v>30.15</v>
      </c>
      <c r="E165" s="9">
        <f t="shared" ca="1" si="4"/>
        <v>1.1255200000000002E-2</v>
      </c>
      <c r="F165" s="1">
        <v>1000</v>
      </c>
      <c r="G165" s="1">
        <v>7</v>
      </c>
      <c r="H165" s="1">
        <v>0.04</v>
      </c>
      <c r="I165" s="1">
        <v>0</v>
      </c>
      <c r="J165" s="1">
        <v>7</v>
      </c>
      <c r="K165" s="1">
        <v>0.5</v>
      </c>
      <c r="L165" s="8">
        <v>3.5</v>
      </c>
      <c r="M165" s="8">
        <f t="shared" si="5"/>
        <v>120.5</v>
      </c>
      <c r="O165" s="5"/>
      <c r="P165" s="5"/>
    </row>
    <row r="166" spans="1:16" x14ac:dyDescent="0.25">
      <c r="A166" s="1">
        <v>165</v>
      </c>
      <c r="B166" s="1" t="s">
        <v>3</v>
      </c>
      <c r="C166" s="1">
        <v>30</v>
      </c>
      <c r="D166" s="8">
        <v>30.21</v>
      </c>
      <c r="E166" s="9">
        <f t="shared" ca="1" si="4"/>
        <v>1.1344999999999999E-2</v>
      </c>
      <c r="F166" s="1">
        <v>1000</v>
      </c>
      <c r="G166" s="1">
        <v>3</v>
      </c>
      <c r="H166" s="1">
        <v>0.04</v>
      </c>
      <c r="I166" s="1">
        <v>0</v>
      </c>
      <c r="J166" s="1">
        <v>3</v>
      </c>
      <c r="K166" s="1">
        <v>0.5</v>
      </c>
      <c r="L166" s="8">
        <v>1.5</v>
      </c>
      <c r="M166" s="8">
        <f t="shared" si="5"/>
        <v>122</v>
      </c>
      <c r="O166" s="5"/>
      <c r="P166" s="5"/>
    </row>
    <row r="167" spans="1:16" x14ac:dyDescent="0.25">
      <c r="A167" s="1">
        <v>166</v>
      </c>
      <c r="B167" s="1" t="s">
        <v>3</v>
      </c>
      <c r="C167" s="1">
        <v>30</v>
      </c>
      <c r="D167" s="8">
        <v>30.19</v>
      </c>
      <c r="E167" s="9">
        <f t="shared" ca="1" si="4"/>
        <v>1.1943199999999999E-2</v>
      </c>
      <c r="F167" s="1">
        <v>1000</v>
      </c>
      <c r="G167" s="1">
        <v>7</v>
      </c>
      <c r="H167" s="1">
        <v>0.04</v>
      </c>
      <c r="I167" s="1">
        <v>0</v>
      </c>
      <c r="J167" s="1">
        <v>7</v>
      </c>
      <c r="K167" s="1">
        <v>0.5</v>
      </c>
      <c r="L167" s="8">
        <v>3.5</v>
      </c>
      <c r="M167" s="8">
        <f t="shared" si="5"/>
        <v>125.5</v>
      </c>
      <c r="O167" s="5"/>
      <c r="P167" s="5"/>
    </row>
    <row r="168" spans="1:16" x14ac:dyDescent="0.25">
      <c r="A168" s="1">
        <v>167</v>
      </c>
      <c r="B168" s="1" t="s">
        <v>3</v>
      </c>
      <c r="C168" s="1">
        <v>30</v>
      </c>
      <c r="D168" s="8">
        <v>30.19</v>
      </c>
      <c r="E168" s="9">
        <f t="shared" ca="1" si="4"/>
        <v>9.5498000000000006E-3</v>
      </c>
      <c r="F168" s="1">
        <v>1000</v>
      </c>
      <c r="G168" s="1">
        <v>4</v>
      </c>
      <c r="H168" s="1">
        <v>0.04</v>
      </c>
      <c r="I168" s="1">
        <v>1</v>
      </c>
      <c r="J168" s="1">
        <v>5</v>
      </c>
      <c r="K168" s="1">
        <v>0.5</v>
      </c>
      <c r="L168" s="8">
        <v>2.5</v>
      </c>
      <c r="M168" s="8">
        <f t="shared" si="5"/>
        <v>128</v>
      </c>
      <c r="O168" s="5"/>
      <c r="P168" s="5"/>
    </row>
    <row r="169" spans="1:16" x14ac:dyDescent="0.25">
      <c r="A169" s="1">
        <v>168</v>
      </c>
      <c r="B169" s="1" t="s">
        <v>3</v>
      </c>
      <c r="C169" s="1">
        <v>30</v>
      </c>
      <c r="D169" s="8">
        <v>30.18</v>
      </c>
      <c r="E169" s="9">
        <f t="shared" ca="1" si="4"/>
        <v>1.21648E-2</v>
      </c>
      <c r="F169" s="1">
        <v>1000</v>
      </c>
      <c r="G169" s="1">
        <v>1</v>
      </c>
      <c r="H169" s="1">
        <v>0.04</v>
      </c>
      <c r="I169" s="1">
        <v>0</v>
      </c>
      <c r="J169" s="1">
        <v>1</v>
      </c>
      <c r="K169" s="1">
        <v>0.5</v>
      </c>
      <c r="L169" s="8">
        <v>0.5</v>
      </c>
      <c r="M169" s="8">
        <f t="shared" si="5"/>
        <v>128.5</v>
      </c>
      <c r="O169" s="5"/>
      <c r="P169" s="5"/>
    </row>
    <row r="170" spans="1:16" x14ac:dyDescent="0.25">
      <c r="A170" s="1">
        <v>169</v>
      </c>
      <c r="B170" s="1" t="s">
        <v>3</v>
      </c>
      <c r="C170" s="1">
        <v>30</v>
      </c>
      <c r="D170" s="8">
        <v>30.21</v>
      </c>
      <c r="E170" s="9">
        <f t="shared" ca="1" si="4"/>
        <v>1.0488200000000001E-2</v>
      </c>
      <c r="F170" s="1">
        <v>1000</v>
      </c>
      <c r="G170" s="1">
        <v>6</v>
      </c>
      <c r="H170" s="1">
        <v>0.04</v>
      </c>
      <c r="I170" s="1">
        <v>2</v>
      </c>
      <c r="J170" s="1">
        <v>8</v>
      </c>
      <c r="K170" s="1">
        <v>0.5</v>
      </c>
      <c r="L170" s="8">
        <v>4</v>
      </c>
      <c r="M170" s="8">
        <f t="shared" si="5"/>
        <v>132.5</v>
      </c>
      <c r="O170" s="5"/>
      <c r="P170" s="5"/>
    </row>
    <row r="171" spans="1:16" x14ac:dyDescent="0.25">
      <c r="A171" s="1">
        <v>170</v>
      </c>
      <c r="B171" s="1" t="s">
        <v>3</v>
      </c>
      <c r="C171" s="1">
        <v>30</v>
      </c>
      <c r="D171" s="8">
        <v>30.22</v>
      </c>
      <c r="E171" s="9">
        <f t="shared" ca="1" si="4"/>
        <v>1.1020000000000002E-2</v>
      </c>
      <c r="F171" s="1">
        <v>1000</v>
      </c>
      <c r="G171" s="1">
        <v>3</v>
      </c>
      <c r="H171" s="1">
        <v>0.04</v>
      </c>
      <c r="I171" s="1">
        <v>0</v>
      </c>
      <c r="J171" s="1">
        <v>3</v>
      </c>
      <c r="K171" s="1">
        <v>0.5</v>
      </c>
      <c r="L171" s="8">
        <v>1.5</v>
      </c>
      <c r="M171" s="8">
        <f t="shared" si="5"/>
        <v>134</v>
      </c>
      <c r="O171" s="5"/>
      <c r="P171" s="5"/>
    </row>
    <row r="172" spans="1:16" x14ac:dyDescent="0.25">
      <c r="A172" s="1">
        <v>171</v>
      </c>
      <c r="B172" s="1" t="s">
        <v>3</v>
      </c>
      <c r="C172" s="1">
        <v>30</v>
      </c>
      <c r="D172" s="8">
        <v>30.21</v>
      </c>
      <c r="E172" s="9">
        <f t="shared" ca="1" si="4"/>
        <v>1.2160199999999999E-2</v>
      </c>
      <c r="F172" s="1">
        <v>1000</v>
      </c>
      <c r="G172" s="1">
        <v>7</v>
      </c>
      <c r="H172" s="1">
        <v>0.04</v>
      </c>
      <c r="I172" s="1">
        <v>0</v>
      </c>
      <c r="J172" s="1">
        <v>7</v>
      </c>
      <c r="K172" s="1">
        <v>0.5</v>
      </c>
      <c r="L172" s="8">
        <v>3.5</v>
      </c>
      <c r="M172" s="8">
        <f t="shared" si="5"/>
        <v>137.5</v>
      </c>
      <c r="O172" s="5"/>
      <c r="P172" s="5"/>
    </row>
    <row r="173" spans="1:16" x14ac:dyDescent="0.25">
      <c r="A173" s="1">
        <v>172</v>
      </c>
      <c r="B173" s="1" t="s">
        <v>3</v>
      </c>
      <c r="C173" s="1">
        <v>30</v>
      </c>
      <c r="D173" s="8">
        <v>30.21</v>
      </c>
      <c r="E173" s="9">
        <f t="shared" ca="1" si="4"/>
        <v>1.3408799999999998E-2</v>
      </c>
      <c r="F173" s="1">
        <v>1000</v>
      </c>
      <c r="G173" s="1">
        <v>4</v>
      </c>
      <c r="H173" s="1">
        <v>0.04</v>
      </c>
      <c r="I173" s="1">
        <v>1</v>
      </c>
      <c r="J173" s="1">
        <v>5</v>
      </c>
      <c r="K173" s="1">
        <v>0.5</v>
      </c>
      <c r="L173" s="8">
        <v>2.5</v>
      </c>
      <c r="M173" s="8">
        <f t="shared" si="5"/>
        <v>140</v>
      </c>
      <c r="O173" s="5"/>
      <c r="P173" s="5"/>
    </row>
    <row r="174" spans="1:16" x14ac:dyDescent="0.25">
      <c r="A174" s="1">
        <v>173</v>
      </c>
      <c r="B174" s="1" t="s">
        <v>3</v>
      </c>
      <c r="C174" s="1">
        <v>30</v>
      </c>
      <c r="D174" s="8">
        <v>30.22</v>
      </c>
      <c r="E174" s="9">
        <f t="shared" ca="1" si="4"/>
        <v>1.42658E-2</v>
      </c>
      <c r="F174" s="1">
        <v>1000</v>
      </c>
      <c r="G174" s="1">
        <v>3</v>
      </c>
      <c r="H174" s="1">
        <v>0.04</v>
      </c>
      <c r="I174" s="1">
        <v>1</v>
      </c>
      <c r="J174" s="1">
        <v>4</v>
      </c>
      <c r="K174" s="1">
        <v>0.5</v>
      </c>
      <c r="L174" s="8">
        <v>2</v>
      </c>
      <c r="M174" s="8">
        <f t="shared" si="5"/>
        <v>142</v>
      </c>
      <c r="O174" s="5"/>
      <c r="P174" s="5"/>
    </row>
    <row r="175" spans="1:16" x14ac:dyDescent="0.25">
      <c r="A175" s="1">
        <v>174</v>
      </c>
      <c r="B175" s="1" t="s">
        <v>3</v>
      </c>
      <c r="C175" s="1">
        <v>30</v>
      </c>
      <c r="D175" s="8">
        <v>30.23</v>
      </c>
      <c r="E175" s="9">
        <f t="shared" ca="1" si="4"/>
        <v>1.3831199999999998E-2</v>
      </c>
      <c r="F175" s="1">
        <v>1000</v>
      </c>
      <c r="G175" s="1">
        <v>2</v>
      </c>
      <c r="H175" s="1">
        <v>0.04</v>
      </c>
      <c r="I175" s="1">
        <v>1</v>
      </c>
      <c r="J175" s="1">
        <v>3</v>
      </c>
      <c r="K175" s="1">
        <v>0.5</v>
      </c>
      <c r="L175" s="8">
        <v>1.5</v>
      </c>
      <c r="M175" s="8">
        <f t="shared" si="5"/>
        <v>143.5</v>
      </c>
      <c r="O175" s="5"/>
      <c r="P175" s="5"/>
    </row>
    <row r="176" spans="1:16" x14ac:dyDescent="0.25">
      <c r="A176" s="1">
        <v>175</v>
      </c>
      <c r="B176" s="1" t="s">
        <v>3</v>
      </c>
      <c r="C176" s="1">
        <v>30</v>
      </c>
      <c r="D176" s="8">
        <v>30.23</v>
      </c>
      <c r="E176" s="9">
        <f t="shared" ca="1" si="4"/>
        <v>1.3505E-2</v>
      </c>
      <c r="F176" s="1">
        <v>1000</v>
      </c>
      <c r="G176" s="1">
        <v>5</v>
      </c>
      <c r="H176" s="1">
        <v>0.04</v>
      </c>
      <c r="I176" s="1">
        <v>2</v>
      </c>
      <c r="J176" s="1">
        <v>7</v>
      </c>
      <c r="K176" s="1">
        <v>0.5</v>
      </c>
      <c r="L176" s="8">
        <v>3.5</v>
      </c>
      <c r="M176" s="8">
        <f t="shared" si="5"/>
        <v>147</v>
      </c>
      <c r="O176" s="5"/>
      <c r="P176" s="5"/>
    </row>
    <row r="177" spans="1:16" x14ac:dyDescent="0.25">
      <c r="A177" s="1">
        <v>176</v>
      </c>
      <c r="B177" s="1" t="s">
        <v>3</v>
      </c>
      <c r="C177" s="1">
        <v>30</v>
      </c>
      <c r="D177" s="8">
        <v>30.25</v>
      </c>
      <c r="E177" s="9">
        <f t="shared" ca="1" si="4"/>
        <v>1.4387200000000003E-2</v>
      </c>
      <c r="F177" s="1">
        <v>1000</v>
      </c>
      <c r="G177" s="1">
        <v>4</v>
      </c>
      <c r="H177" s="1">
        <v>0.04</v>
      </c>
      <c r="I177" s="1">
        <v>1</v>
      </c>
      <c r="J177" s="1">
        <v>5</v>
      </c>
      <c r="K177" s="1">
        <v>0.5</v>
      </c>
      <c r="L177" s="8">
        <v>2.5</v>
      </c>
      <c r="M177" s="8">
        <f t="shared" si="5"/>
        <v>149.5</v>
      </c>
      <c r="O177" s="5"/>
      <c r="P177" s="5"/>
    </row>
    <row r="178" spans="1:16" x14ac:dyDescent="0.25">
      <c r="A178" s="1">
        <v>177</v>
      </c>
      <c r="B178" s="1" t="s">
        <v>3</v>
      </c>
      <c r="C178" s="1">
        <v>30</v>
      </c>
      <c r="D178" s="8">
        <v>30.25</v>
      </c>
      <c r="E178" s="9">
        <f t="shared" ca="1" si="4"/>
        <v>1.3877800000000001E-2</v>
      </c>
      <c r="F178" s="1">
        <v>1000</v>
      </c>
      <c r="G178" s="1">
        <v>12</v>
      </c>
      <c r="H178" s="1">
        <v>0.04</v>
      </c>
      <c r="I178" s="1">
        <v>1</v>
      </c>
      <c r="J178" s="1">
        <v>13</v>
      </c>
      <c r="K178" s="1">
        <v>0.5</v>
      </c>
      <c r="L178" s="8">
        <v>6.5</v>
      </c>
      <c r="M178" s="8">
        <f t="shared" si="5"/>
        <v>156</v>
      </c>
      <c r="O178" s="5"/>
      <c r="P178" s="5"/>
    </row>
    <row r="179" spans="1:16" x14ac:dyDescent="0.25">
      <c r="A179" s="1">
        <v>178</v>
      </c>
      <c r="B179" s="1" t="s">
        <v>3</v>
      </c>
      <c r="C179" s="1">
        <v>30</v>
      </c>
      <c r="D179" s="8">
        <v>30.24</v>
      </c>
      <c r="E179" s="9">
        <f t="shared" ca="1" si="4"/>
        <v>1.3176800000000001E-2</v>
      </c>
      <c r="F179" s="1">
        <v>1000</v>
      </c>
      <c r="G179" s="1">
        <v>23</v>
      </c>
      <c r="H179" s="1">
        <v>0.04</v>
      </c>
      <c r="I179" s="1">
        <v>0</v>
      </c>
      <c r="J179" s="1">
        <v>23</v>
      </c>
      <c r="K179" s="1">
        <v>0.5</v>
      </c>
      <c r="L179" s="8">
        <v>11.5</v>
      </c>
      <c r="M179" s="8">
        <f t="shared" si="5"/>
        <v>167.5</v>
      </c>
      <c r="O179" s="5"/>
      <c r="P179" s="5"/>
    </row>
    <row r="180" spans="1:16" x14ac:dyDescent="0.25">
      <c r="A180" s="1">
        <v>179</v>
      </c>
      <c r="B180" s="1" t="s">
        <v>3</v>
      </c>
      <c r="C180" s="1">
        <v>30</v>
      </c>
      <c r="D180" s="8">
        <v>30.25</v>
      </c>
      <c r="E180" s="9">
        <f t="shared" ca="1" si="4"/>
        <v>1.52842E-2</v>
      </c>
      <c r="F180" s="1">
        <v>1000</v>
      </c>
      <c r="G180" s="1">
        <v>14</v>
      </c>
      <c r="H180" s="1">
        <v>0.04</v>
      </c>
      <c r="I180" s="1">
        <v>2</v>
      </c>
      <c r="J180" s="1">
        <v>16</v>
      </c>
      <c r="K180" s="1">
        <v>0.5</v>
      </c>
      <c r="L180" s="8">
        <v>8</v>
      </c>
      <c r="M180" s="8">
        <f t="shared" si="5"/>
        <v>175.5</v>
      </c>
      <c r="O180" s="5"/>
      <c r="P180" s="5"/>
    </row>
    <row r="181" spans="1:16" x14ac:dyDescent="0.25">
      <c r="A181" s="1">
        <v>180</v>
      </c>
      <c r="B181" s="1" t="s">
        <v>3</v>
      </c>
      <c r="C181" s="1">
        <v>30</v>
      </c>
      <c r="D181" s="8">
        <v>30.26</v>
      </c>
      <c r="E181" s="9">
        <f t="shared" ca="1" si="4"/>
        <v>1.6899999999999998E-2</v>
      </c>
      <c r="F181" s="1">
        <v>1000</v>
      </c>
      <c r="G181" s="1">
        <v>6</v>
      </c>
      <c r="H181" s="1">
        <v>0.04</v>
      </c>
      <c r="I181" s="1">
        <v>2</v>
      </c>
      <c r="J181" s="1">
        <v>8</v>
      </c>
      <c r="K181" s="1">
        <v>0.5</v>
      </c>
      <c r="L181" s="8">
        <v>4</v>
      </c>
      <c r="M181" s="8">
        <f t="shared" si="5"/>
        <v>179.5</v>
      </c>
      <c r="O181" s="5"/>
      <c r="P181" s="5"/>
    </row>
    <row r="182" spans="1:16" x14ac:dyDescent="0.25">
      <c r="A182" s="1">
        <v>181</v>
      </c>
      <c r="B182" s="1" t="s">
        <v>3</v>
      </c>
      <c r="C182" s="1">
        <v>30</v>
      </c>
      <c r="D182" s="8">
        <v>30.26</v>
      </c>
      <c r="E182" s="9">
        <f t="shared" ca="1" si="4"/>
        <v>1.7324199999999998E-2</v>
      </c>
      <c r="F182" s="1">
        <v>1000</v>
      </c>
      <c r="G182" s="1">
        <v>7</v>
      </c>
      <c r="H182" s="1">
        <v>0.04</v>
      </c>
      <c r="I182" s="1">
        <v>1</v>
      </c>
      <c r="J182" s="1">
        <v>8</v>
      </c>
      <c r="K182" s="1">
        <v>0.5</v>
      </c>
      <c r="L182" s="8">
        <v>4</v>
      </c>
      <c r="M182" s="8">
        <f t="shared" si="5"/>
        <v>183.5</v>
      </c>
      <c r="O182" s="5"/>
      <c r="P182" s="5"/>
    </row>
    <row r="183" spans="1:16" x14ac:dyDescent="0.25">
      <c r="A183" s="1">
        <v>182</v>
      </c>
      <c r="B183" s="1" t="s">
        <v>3</v>
      </c>
      <c r="C183" s="1">
        <v>30</v>
      </c>
      <c r="D183" s="8">
        <v>30.27</v>
      </c>
      <c r="E183" s="9">
        <f t="shared" ca="1" si="4"/>
        <v>1.71568E-2</v>
      </c>
      <c r="F183" s="1">
        <v>1000</v>
      </c>
      <c r="G183" s="1">
        <v>5</v>
      </c>
      <c r="H183" s="1">
        <v>0.04</v>
      </c>
      <c r="I183" s="1">
        <v>0</v>
      </c>
      <c r="J183" s="1">
        <v>5</v>
      </c>
      <c r="K183" s="1">
        <v>0.5</v>
      </c>
      <c r="L183" s="8">
        <v>2.5</v>
      </c>
      <c r="M183" s="8">
        <f t="shared" si="5"/>
        <v>186</v>
      </c>
      <c r="O183" s="5"/>
      <c r="P183" s="5"/>
    </row>
    <row r="184" spans="1:16" x14ac:dyDescent="0.25">
      <c r="A184" s="1">
        <v>183</v>
      </c>
      <c r="B184" s="1" t="s">
        <v>3</v>
      </c>
      <c r="C184" s="1">
        <v>30</v>
      </c>
      <c r="D184" s="8">
        <v>30.27</v>
      </c>
      <c r="E184" s="9">
        <f t="shared" ca="1" si="4"/>
        <v>1.5497800000000003E-2</v>
      </c>
      <c r="F184" s="1">
        <v>1000</v>
      </c>
      <c r="G184" s="1">
        <v>9</v>
      </c>
      <c r="H184" s="1">
        <v>0.04</v>
      </c>
      <c r="I184" s="1">
        <v>1</v>
      </c>
      <c r="J184" s="1">
        <v>10</v>
      </c>
      <c r="K184" s="1">
        <v>0.5</v>
      </c>
      <c r="L184" s="8">
        <v>5</v>
      </c>
      <c r="M184" s="8">
        <f t="shared" si="5"/>
        <v>191</v>
      </c>
      <c r="O184" s="5"/>
      <c r="P184" s="5"/>
    </row>
    <row r="185" spans="1:16" x14ac:dyDescent="0.25">
      <c r="A185" s="1">
        <v>184</v>
      </c>
      <c r="B185" s="1" t="s">
        <v>3</v>
      </c>
      <c r="C185" s="1">
        <v>30</v>
      </c>
      <c r="D185" s="8">
        <v>30.28</v>
      </c>
      <c r="E185" s="9">
        <f t="shared" ca="1" si="4"/>
        <v>1.74472E-2</v>
      </c>
      <c r="F185" s="1">
        <v>1000</v>
      </c>
      <c r="G185" s="1">
        <v>1</v>
      </c>
      <c r="H185" s="1">
        <v>0.04</v>
      </c>
      <c r="I185" s="1">
        <v>2</v>
      </c>
      <c r="J185" s="1">
        <v>3</v>
      </c>
      <c r="K185" s="1">
        <v>0.5</v>
      </c>
      <c r="L185" s="8">
        <v>1.5</v>
      </c>
      <c r="M185" s="8">
        <f t="shared" si="5"/>
        <v>192.5</v>
      </c>
      <c r="O185" s="5"/>
      <c r="P185" s="5"/>
    </row>
    <row r="186" spans="1:16" x14ac:dyDescent="0.25">
      <c r="A186" s="1">
        <v>185</v>
      </c>
      <c r="B186" s="1" t="s">
        <v>3</v>
      </c>
      <c r="C186" s="1">
        <v>30</v>
      </c>
      <c r="D186" s="8">
        <v>30.3</v>
      </c>
      <c r="E186" s="9">
        <f t="shared" ca="1" si="4"/>
        <v>1.7205000000000002E-2</v>
      </c>
      <c r="F186" s="1">
        <v>1000</v>
      </c>
      <c r="G186" s="1">
        <v>4</v>
      </c>
      <c r="H186" s="1">
        <v>0.04</v>
      </c>
      <c r="I186" s="1">
        <v>0</v>
      </c>
      <c r="J186" s="1">
        <v>4</v>
      </c>
      <c r="K186" s="1">
        <v>0.5</v>
      </c>
      <c r="L186" s="8">
        <v>2</v>
      </c>
      <c r="M186" s="8">
        <f t="shared" si="5"/>
        <v>194.5</v>
      </c>
      <c r="O186" s="5"/>
      <c r="P186" s="5"/>
    </row>
    <row r="187" spans="1:16" x14ac:dyDescent="0.25">
      <c r="A187" s="1">
        <v>186</v>
      </c>
      <c r="B187" s="1" t="s">
        <v>3</v>
      </c>
      <c r="C187" s="1">
        <v>30</v>
      </c>
      <c r="D187" s="8">
        <v>30.31</v>
      </c>
      <c r="E187" s="9">
        <f t="shared" ca="1" si="4"/>
        <v>1.9671200000000003E-2</v>
      </c>
      <c r="F187" s="1">
        <v>1000</v>
      </c>
      <c r="G187" s="1">
        <v>6</v>
      </c>
      <c r="H187" s="1">
        <v>0.04</v>
      </c>
      <c r="I187" s="1">
        <v>1</v>
      </c>
      <c r="J187" s="1">
        <v>7</v>
      </c>
      <c r="K187" s="1">
        <v>0.5</v>
      </c>
      <c r="L187" s="8">
        <v>3.5</v>
      </c>
      <c r="M187" s="8">
        <f t="shared" si="5"/>
        <v>198</v>
      </c>
      <c r="O187" s="5"/>
      <c r="P187" s="5"/>
    </row>
    <row r="188" spans="1:16" x14ac:dyDescent="0.25">
      <c r="A188" s="1">
        <v>187</v>
      </c>
      <c r="B188" s="1" t="s">
        <v>3</v>
      </c>
      <c r="C188" s="1">
        <v>30</v>
      </c>
      <c r="D188" s="8">
        <v>30.25</v>
      </c>
      <c r="E188" s="9">
        <f t="shared" ca="1" si="4"/>
        <v>1.98458E-2</v>
      </c>
      <c r="F188" s="1">
        <v>1000</v>
      </c>
      <c r="G188" s="1">
        <v>2</v>
      </c>
      <c r="H188" s="1">
        <v>0.04</v>
      </c>
      <c r="I188" s="1">
        <v>0</v>
      </c>
      <c r="J188" s="1">
        <v>2</v>
      </c>
      <c r="K188" s="1">
        <v>0.5</v>
      </c>
      <c r="L188" s="8">
        <v>1</v>
      </c>
      <c r="M188" s="8">
        <f t="shared" si="5"/>
        <v>199</v>
      </c>
      <c r="O188" s="5"/>
      <c r="P188" s="5"/>
    </row>
    <row r="189" spans="1:16" x14ac:dyDescent="0.25">
      <c r="A189" s="1">
        <v>188</v>
      </c>
      <c r="B189" s="1" t="s">
        <v>3</v>
      </c>
      <c r="C189" s="1">
        <v>30</v>
      </c>
      <c r="D189" s="8">
        <v>30.31</v>
      </c>
      <c r="E189" s="9">
        <f t="shared" ca="1" si="4"/>
        <v>1.8028800000000001E-2</v>
      </c>
      <c r="F189" s="1">
        <v>1000</v>
      </c>
      <c r="G189" s="1">
        <v>3</v>
      </c>
      <c r="H189" s="1">
        <v>0.04</v>
      </c>
      <c r="I189" s="1">
        <v>2</v>
      </c>
      <c r="J189" s="1">
        <v>5</v>
      </c>
      <c r="K189" s="1">
        <v>0.5</v>
      </c>
      <c r="L189" s="8">
        <v>2.5</v>
      </c>
      <c r="M189" s="8">
        <f t="shared" si="5"/>
        <v>201.5</v>
      </c>
      <c r="O189" s="5"/>
      <c r="P189" s="5"/>
    </row>
    <row r="190" spans="1:16" x14ac:dyDescent="0.25">
      <c r="A190" s="1">
        <v>189</v>
      </c>
      <c r="B190" s="1" t="s">
        <v>3</v>
      </c>
      <c r="C190" s="1">
        <v>30</v>
      </c>
      <c r="D190" s="8">
        <v>30.33</v>
      </c>
      <c r="E190" s="9">
        <f t="shared" ca="1" si="4"/>
        <v>1.8520200000000001E-2</v>
      </c>
      <c r="F190" s="1">
        <v>1000</v>
      </c>
      <c r="G190" s="1">
        <v>9</v>
      </c>
      <c r="H190" s="1">
        <v>0.04</v>
      </c>
      <c r="I190" s="1">
        <v>1</v>
      </c>
      <c r="J190" s="1">
        <v>10</v>
      </c>
      <c r="K190" s="1">
        <v>0.5</v>
      </c>
      <c r="L190" s="8">
        <v>5</v>
      </c>
      <c r="M190" s="8">
        <f t="shared" si="5"/>
        <v>206.5</v>
      </c>
      <c r="O190" s="5"/>
      <c r="P190" s="5"/>
    </row>
    <row r="191" spans="1:16" x14ac:dyDescent="0.25">
      <c r="A191" s="1">
        <v>190</v>
      </c>
      <c r="B191" s="1" t="s">
        <v>3</v>
      </c>
      <c r="C191" s="1">
        <v>30</v>
      </c>
      <c r="D191" s="8">
        <v>30.29</v>
      </c>
      <c r="E191" s="9">
        <f t="shared" ca="1" si="4"/>
        <v>2.002E-2</v>
      </c>
      <c r="F191" s="1">
        <v>1000</v>
      </c>
      <c r="G191" s="1">
        <v>7</v>
      </c>
      <c r="H191" s="1">
        <v>0.04</v>
      </c>
      <c r="I191" s="1">
        <v>2</v>
      </c>
      <c r="J191" s="1">
        <v>9</v>
      </c>
      <c r="K191" s="1">
        <v>0.5</v>
      </c>
      <c r="L191" s="8">
        <v>4.5</v>
      </c>
      <c r="M191" s="8">
        <f t="shared" si="5"/>
        <v>211</v>
      </c>
      <c r="O191" s="5"/>
      <c r="P191" s="5"/>
    </row>
    <row r="192" spans="1:16" x14ac:dyDescent="0.25">
      <c r="A192" s="1">
        <v>191</v>
      </c>
      <c r="B192" s="1" t="s">
        <v>3</v>
      </c>
      <c r="C192" s="1">
        <v>30</v>
      </c>
      <c r="D192" s="8">
        <v>30.32</v>
      </c>
      <c r="E192" s="9">
        <f t="shared" ca="1" si="4"/>
        <v>1.9328200000000004E-2</v>
      </c>
      <c r="F192" s="1">
        <v>1000</v>
      </c>
      <c r="G192" s="1">
        <v>7</v>
      </c>
      <c r="H192" s="1">
        <v>0.04</v>
      </c>
      <c r="I192" s="1">
        <v>1</v>
      </c>
      <c r="J192" s="1">
        <v>8</v>
      </c>
      <c r="K192" s="1">
        <v>0.5</v>
      </c>
      <c r="L192" s="8">
        <v>4</v>
      </c>
      <c r="M192" s="8">
        <f t="shared" si="5"/>
        <v>215</v>
      </c>
      <c r="O192" s="5"/>
      <c r="P192" s="5"/>
    </row>
    <row r="193" spans="1:16" x14ac:dyDescent="0.25">
      <c r="A193" s="1">
        <v>192</v>
      </c>
      <c r="B193" s="1" t="s">
        <v>3</v>
      </c>
      <c r="C193" s="1">
        <v>30</v>
      </c>
      <c r="D193" s="8">
        <v>30.31</v>
      </c>
      <c r="E193" s="9">
        <f t="shared" ca="1" si="4"/>
        <v>2.1344800000000001E-2</v>
      </c>
      <c r="F193" s="1">
        <v>1000</v>
      </c>
      <c r="G193" s="1">
        <v>10</v>
      </c>
      <c r="H193" s="1">
        <v>0.04</v>
      </c>
      <c r="I193" s="1">
        <v>0</v>
      </c>
      <c r="J193" s="1">
        <v>10</v>
      </c>
      <c r="K193" s="1">
        <v>0.5</v>
      </c>
      <c r="L193" s="8">
        <v>5</v>
      </c>
      <c r="M193" s="8">
        <f t="shared" si="5"/>
        <v>220</v>
      </c>
      <c r="O193" s="5"/>
      <c r="P193" s="5"/>
    </row>
    <row r="194" spans="1:16" x14ac:dyDescent="0.25">
      <c r="A194" s="1">
        <v>193</v>
      </c>
      <c r="B194" s="1" t="s">
        <v>3</v>
      </c>
      <c r="C194" s="1">
        <v>30</v>
      </c>
      <c r="D194" s="8">
        <v>30.34</v>
      </c>
      <c r="E194" s="9">
        <f t="shared" ca="1" si="4"/>
        <v>2.2769800000000003E-2</v>
      </c>
      <c r="F194" s="1">
        <v>1000</v>
      </c>
      <c r="G194" s="1">
        <v>8</v>
      </c>
      <c r="H194" s="1">
        <v>0.04</v>
      </c>
      <c r="I194" s="1">
        <v>2</v>
      </c>
      <c r="J194" s="1">
        <v>10</v>
      </c>
      <c r="K194" s="1">
        <v>0.5</v>
      </c>
      <c r="L194" s="8">
        <v>5</v>
      </c>
      <c r="M194" s="8">
        <f t="shared" si="5"/>
        <v>225</v>
      </c>
      <c r="O194" s="5"/>
      <c r="P194" s="5"/>
    </row>
    <row r="195" spans="1:16" x14ac:dyDescent="0.25">
      <c r="A195" s="1">
        <v>194</v>
      </c>
      <c r="B195" s="1" t="s">
        <v>3</v>
      </c>
      <c r="C195" s="1">
        <v>30</v>
      </c>
      <c r="D195" s="8">
        <v>30.33</v>
      </c>
      <c r="E195" s="9">
        <f t="shared" ref="E195:E201" ca="1" si="6">IF($B195="Form_A1", 0.005 + (0.042 * ($A195/130)^2) + (RANDBETWEEN(-15,15)/10000), 0.005 + (0.042 * (($A195-130)/100)^2) + (RANDBETWEEN(-15,15)/10000))</f>
        <v>2.1703200000000002E-2</v>
      </c>
      <c r="F195" s="1">
        <v>1000</v>
      </c>
      <c r="G195" s="1">
        <v>6</v>
      </c>
      <c r="H195" s="1">
        <v>0.04</v>
      </c>
      <c r="I195" s="1">
        <v>2</v>
      </c>
      <c r="J195" s="1">
        <v>8</v>
      </c>
      <c r="K195" s="1">
        <v>0.5</v>
      </c>
      <c r="L195" s="8">
        <v>4</v>
      </c>
      <c r="M195" s="8">
        <f t="shared" si="5"/>
        <v>229</v>
      </c>
      <c r="O195" s="5"/>
      <c r="P195" s="5"/>
    </row>
    <row r="196" spans="1:16" x14ac:dyDescent="0.25">
      <c r="A196" s="1">
        <v>195</v>
      </c>
      <c r="B196" s="1" t="s">
        <v>3</v>
      </c>
      <c r="C196" s="1">
        <v>30</v>
      </c>
      <c r="D196" s="8">
        <v>30.32</v>
      </c>
      <c r="E196" s="9">
        <f t="shared" ca="1" si="6"/>
        <v>2.3845000000000005E-2</v>
      </c>
      <c r="F196" s="1">
        <v>1000</v>
      </c>
      <c r="G196" s="1">
        <v>10</v>
      </c>
      <c r="H196" s="1">
        <v>0.04</v>
      </c>
      <c r="I196" s="1">
        <v>1</v>
      </c>
      <c r="J196" s="1">
        <v>11</v>
      </c>
      <c r="K196" s="1">
        <v>0.5</v>
      </c>
      <c r="L196" s="8">
        <v>5.5</v>
      </c>
      <c r="M196" s="8">
        <f t="shared" ref="M196:M201" si="7">L196+M195</f>
        <v>234.5</v>
      </c>
      <c r="O196" s="5"/>
      <c r="P196" s="5"/>
    </row>
    <row r="197" spans="1:16" x14ac:dyDescent="0.25">
      <c r="A197" s="1">
        <v>196</v>
      </c>
      <c r="B197" s="1" t="s">
        <v>3</v>
      </c>
      <c r="C197" s="1">
        <v>30</v>
      </c>
      <c r="D197" s="8">
        <v>30.31</v>
      </c>
      <c r="E197" s="9">
        <f t="shared" ca="1" si="6"/>
        <v>2.4595200000000005E-2</v>
      </c>
      <c r="F197" s="1">
        <v>1000</v>
      </c>
      <c r="G197" s="1">
        <v>4</v>
      </c>
      <c r="H197" s="1">
        <v>0.04</v>
      </c>
      <c r="I197" s="1">
        <v>1</v>
      </c>
      <c r="J197" s="1">
        <v>5</v>
      </c>
      <c r="K197" s="1">
        <v>0.5</v>
      </c>
      <c r="L197" s="8">
        <v>2.5</v>
      </c>
      <c r="M197" s="8">
        <f t="shared" si="7"/>
        <v>237</v>
      </c>
      <c r="O197" s="5"/>
      <c r="P197" s="5"/>
    </row>
    <row r="198" spans="1:16" x14ac:dyDescent="0.25">
      <c r="A198" s="1">
        <v>197</v>
      </c>
      <c r="B198" s="1" t="s">
        <v>3</v>
      </c>
      <c r="C198" s="1">
        <v>30</v>
      </c>
      <c r="D198" s="8">
        <v>30.33</v>
      </c>
      <c r="E198" s="9">
        <f t="shared" ca="1" si="6"/>
        <v>2.2353800000000004E-2</v>
      </c>
      <c r="F198" s="1">
        <v>1000</v>
      </c>
      <c r="G198" s="1">
        <v>7</v>
      </c>
      <c r="H198" s="1">
        <v>0.04</v>
      </c>
      <c r="I198" s="1">
        <v>2</v>
      </c>
      <c r="J198" s="1">
        <v>9</v>
      </c>
      <c r="K198" s="1">
        <v>0.5</v>
      </c>
      <c r="L198" s="8">
        <v>4.5</v>
      </c>
      <c r="M198" s="8">
        <f t="shared" si="7"/>
        <v>241.5</v>
      </c>
      <c r="O198" s="5"/>
      <c r="P198" s="5"/>
    </row>
    <row r="199" spans="1:16" x14ac:dyDescent="0.25">
      <c r="A199" s="1">
        <v>198</v>
      </c>
      <c r="B199" s="1" t="s">
        <v>3</v>
      </c>
      <c r="C199" s="1">
        <v>30</v>
      </c>
      <c r="D199" s="8">
        <v>30.32</v>
      </c>
      <c r="E199" s="9">
        <f t="shared" ca="1" si="6"/>
        <v>2.5220800000000005E-2</v>
      </c>
      <c r="F199" s="1">
        <v>1000</v>
      </c>
      <c r="G199" s="1">
        <v>9</v>
      </c>
      <c r="H199" s="1">
        <v>0.04</v>
      </c>
      <c r="I199" s="1">
        <v>2</v>
      </c>
      <c r="J199" s="1">
        <v>11</v>
      </c>
      <c r="K199" s="1">
        <v>0.5</v>
      </c>
      <c r="L199" s="8">
        <v>5.5</v>
      </c>
      <c r="M199" s="8">
        <f t="shared" si="7"/>
        <v>247</v>
      </c>
      <c r="O199" s="5"/>
      <c r="P199" s="5"/>
    </row>
    <row r="200" spans="1:16" x14ac:dyDescent="0.25">
      <c r="A200" s="1">
        <v>199</v>
      </c>
      <c r="B200" s="1" t="s">
        <v>3</v>
      </c>
      <c r="C200" s="1">
        <v>30</v>
      </c>
      <c r="D200" s="8">
        <v>30.34</v>
      </c>
      <c r="E200" s="9">
        <f t="shared" ca="1" si="6"/>
        <v>2.54962E-2</v>
      </c>
      <c r="F200" s="1">
        <v>1000</v>
      </c>
      <c r="G200" s="1">
        <v>3</v>
      </c>
      <c r="H200" s="1">
        <v>0.04</v>
      </c>
      <c r="I200" s="1">
        <v>0</v>
      </c>
      <c r="J200" s="1">
        <v>3</v>
      </c>
      <c r="K200" s="1">
        <v>0.5</v>
      </c>
      <c r="L200" s="8">
        <v>1.5</v>
      </c>
      <c r="M200" s="8">
        <f t="shared" si="7"/>
        <v>248.5</v>
      </c>
      <c r="O200" s="5"/>
      <c r="P200" s="5"/>
    </row>
    <row r="201" spans="1:16" x14ac:dyDescent="0.25">
      <c r="A201" s="1">
        <v>200</v>
      </c>
      <c r="B201" s="1" t="s">
        <v>3</v>
      </c>
      <c r="C201" s="1">
        <v>30</v>
      </c>
      <c r="D201" s="8">
        <v>30.36</v>
      </c>
      <c r="E201" s="9">
        <f t="shared" ca="1" si="6"/>
        <v>2.5279999999999997E-2</v>
      </c>
      <c r="F201" s="1">
        <v>1000</v>
      </c>
      <c r="G201" s="1">
        <v>5</v>
      </c>
      <c r="H201" s="1">
        <v>0.04</v>
      </c>
      <c r="I201" s="1">
        <v>0</v>
      </c>
      <c r="J201" s="1">
        <v>5</v>
      </c>
      <c r="K201" s="1">
        <v>0.5</v>
      </c>
      <c r="L201" s="8">
        <v>2.5</v>
      </c>
      <c r="M201" s="8">
        <f t="shared" si="7"/>
        <v>251</v>
      </c>
      <c r="O201" s="5"/>
      <c r="P201" s="5"/>
    </row>
  </sheetData>
  <pageMargins left="0.7" right="0.7" top="0.78740157499999996" bottom="0.78740157499999996" header="0.3" footer="0.3"/>
  <ignoredErrors>
    <ignoredError sqref="M13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3D78-741E-417D-A905-C7CED5F7405B}">
  <dimension ref="A1"/>
  <sheetViews>
    <sheetView showGridLines="0" showRowColHeaders="0" zoomScaleNormal="100" workbookViewId="0">
      <selection activeCell="L62" sqref="L6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Pivot</vt:lpstr>
      <vt:lpstr>Pivot_1</vt:lpstr>
      <vt:lpstr>Pivot_2</vt:lpstr>
      <vt:lpstr>Pivot_3</vt:lpstr>
      <vt:lpstr>Daten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Zoch, Johannes</dc:creator>
  <cp:lastModifiedBy>Zoch, Johannes</cp:lastModifiedBy>
  <dcterms:created xsi:type="dcterms:W3CDTF">2025-12-17T19:21:11Z</dcterms:created>
  <dcterms:modified xsi:type="dcterms:W3CDTF">2026-03-02T21:42:44Z</dcterms:modified>
</cp:coreProperties>
</file>